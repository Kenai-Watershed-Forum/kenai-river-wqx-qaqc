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Active Projects\Agency Baseline\2022 Agency Baseline\Summer\Chain of Custody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AB9" i="1" l="1"/>
  <c r="Z9" i="1"/>
  <c r="F7" i="1" l="1"/>
  <c r="N13" i="1"/>
  <c r="O12" i="1"/>
  <c r="O11" i="1"/>
  <c r="F7" i="15"/>
  <c r="O10" i="1"/>
  <c r="AH11" i="1"/>
  <c r="AG11" i="1"/>
  <c r="AF11" i="1"/>
  <c r="AE11" i="1"/>
  <c r="AD11" i="1"/>
  <c r="AC11" i="1"/>
  <c r="AB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<sst xmlns="http://schemas.openxmlformats.org/spreadsheetml/2006/main" count="3335" uniqueCount="1202">
  <si>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</si>
  <si>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</si>
  <si>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</si>
  <si>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</si>
  <si>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</si>
  <si>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</si>
  <si>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</si>
  <si>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</si>
  <si>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</si>
  <si>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</si>
  <si>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</si>
  <si>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</si>
  <si>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</si>
  <si>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</si>
  <si>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</si>
  <si>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</si>
  <si>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</si>
  <si>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</si>
  <si>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</si>
  <si>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</si>
  <si>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</si>
  <si>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</si>
  <si>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</si>
  <si>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</si>
  <si>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</si>
  <si>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</si>
  <si>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</si>
  <si>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</si>
  <si>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</si>
  <si>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</si>
  <si>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</si>
  <si>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</si>
  <si>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</si>
  <si>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</si>
  <si>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</si>
  <si>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</si>
  <si>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</si>
  <si>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</si>
  <si>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</si>
  <si>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</si>
  <si>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</si>
  <si>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</si>
  <si>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</si>
  <si>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</si>
  <si>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</si>
  <si>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</si>
  <si>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</si>
  <si>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</si>
  <si>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</si>
  <si>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</si>
  <si>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</si>
  <si>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</si>
  <si>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</si>
  <si>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</si>
  <si>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</si>
  <si>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</si>
  <si>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</si>
  <si>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</si>
  <si>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</si>
  <si>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</si>
  <si>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</si>
  <si>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</si>
  <si>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</si>
  <si>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</si>
  <si>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</si>
  <si>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</si>
  <si>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</si>
  <si>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</si>
  <si>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</si>
  <si>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</si>
  <si>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</si>
  <si>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</si>
  <si>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</si>
  <si>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</si>
  <si>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</si>
  <si>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</si>
  <si>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</si>
  <si>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</si>
  <si>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</si>
  <si>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</si>
  <si>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</si>
  <si>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</si>
  <si>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</si>
  <si>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</si>
  <si>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</si>
  <si>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</si>
  <si>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</si>
  <si>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</si>
  <si>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</si>
  <si>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</si>
  <si>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</si>
  <si>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</si>
  <si>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</si>
  <si>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</si>
  <si>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</si>
  <si>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</si>
  <si>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</si>
  <si>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</si>
  <si>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</si>
  <si>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</si>
  <si>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</si>
  <si>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</si>
  <si>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</si>
  <si>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</si>
  <si>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</si>
  <si>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</si>
  <si>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</si>
  <si>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</si>
  <si>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</si>
  <si>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</si>
  <si>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</si>
  <si>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</si>
  <si>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</si>
  <si>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</si>
  <si>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</si>
  <si>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</si>
  <si>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</si>
  <si>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</si>
  <si>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</si>
  <si>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</si>
  <si>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</si>
  <si>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</si>
  <si>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</si>
  <si>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</si>
  <si>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</si>
  <si>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</si>
  <si>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</si>
  <si>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</si>
  <si>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</si>
  <si>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</si>
  <si>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</si>
  <si>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</si>
  <si>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</si>
  <si>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</si>
  <si>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</si>
  <si>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</si>
  <si>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</si>
  <si>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</si>
  <si>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</si>
  <si>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</si>
  <si>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</si>
  <si>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</si>
  <si>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</si>
  <si>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</si>
  <si>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</si>
  <si>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</si>
  <si>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</si>
  <si>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</si>
  <si>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</si>
  <si>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</si>
  <si>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</si>
  <si>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</si>
  <si>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</si>
  <si>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</si>
  <si>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</si>
  <si>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</si>
  <si>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</si>
  <si>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</si>
  <si>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</si>
  <si>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</si>
  <si>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</si>
  <si>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</si>
  <si>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</si>
  <si>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</si>
  <si>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</si>
  <si>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</si>
  <si>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</si>
  <si>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</si>
  <si>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</si>
  <si>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</si>
  <si>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</si>
  <si>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</si>
  <si>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</si>
  <si>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</si>
  <si>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</si>
  <si>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</si>
  <si>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</si>
  <si>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</si>
  <si>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</si>
  <si>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</si>
  <si>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</si>
  <si>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</si>
  <si>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</si>
  <si>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</si>
  <si>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</si>
  <si>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</si>
  <si>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</si>
  <si>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</si>
  <si>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</si>
  <si>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</si>
  <si>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</si>
  <si>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</si>
  <si>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</si>
  <si>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</si>
  <si>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</si>
  <si>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</si>
  <si>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</si>
  <si>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</si>
  <si>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</si>
  <si>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</si>
  <si>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</si>
  <si>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</si>
  <si>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</si>
  <si>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</si>
  <si>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</si>
  <si>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</si>
  <si>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</si>
  <si>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</si>
  <si>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</si>
  <si>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</si>
  <si>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</si>
  <si>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</si>
  <si>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</si>
  <si>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</si>
  <si>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</si>
  <si>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</si>
  <si>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</si>
  <si>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</si>
  <si>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</si>
  <si>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</si>
  <si>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</si>
  <si>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</si>
  <si>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</si>
  <si>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</si>
  <si>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</si>
  <si>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</si>
  <si>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</si>
  <si>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</si>
  <si>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</si>
  <si>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</si>
  <si>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</si>
  <si>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</si>
  <si>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</si>
  <si>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</si>
  <si>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</si>
  <si>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</si>
  <si>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</si>
  <si>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</si>
  <si>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</si>
  <si>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</si>
  <si>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</si>
  <si>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</si>
  <si>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</si>
  <si>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</si>
  <si>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</si>
  <si>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</si>
  <si>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</si>
  <si>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</si>
  <si>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</si>
  <si>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</si>
  <si>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</si>
  <si>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</si>
  <si>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</si>
  <si>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</si>
  <si>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</si>
  <si>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</si>
  <si>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</si>
  <si>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</si>
  <si>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</si>
  <si>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</si>
  <si>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</si>
  <si>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</si>
  <si>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</si>
  <si>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</si>
  <si>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</si>
  <si>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</si>
  <si>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</si>
  <si>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</si>
  <si>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</si>
  <si>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</si>
  <si>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</si>
  <si>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</si>
  <si>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</si>
  <si>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</si>
  <si>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</si>
  <si>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</si>
  <si>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</si>
  <si>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</si>
  <si>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</si>
  <si>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</si>
  <si>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</si>
  <si>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</si>
  <si>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</si>
  <si>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</si>
  <si>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</si>
  <si>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</si>
  <si>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</si>
  <si>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</si>
  <si>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</si>
  <si>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</si>
  <si>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</si>
  <si>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</si>
  <si>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</si>
  <si>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</si>
  <si>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</si>
  <si>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</si>
  <si>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</si>
  <si>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</si>
  <si>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</si>
  <si>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</si>
  <si>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</si>
  <si>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</si>
  <si>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</si>
  <si>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</si>
  <si>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</si>
  <si>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</si>
  <si>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</si>
  <si>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</si>
  <si>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</si>
  <si>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</si>
  <si>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</si>
  <si>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</si>
  <si>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</si>
  <si>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</si>
  <si>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</si>
  <si>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</si>
  <si>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</si>
  <si>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</si>
  <si>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</si>
  <si>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</si>
  <si>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</si>
  <si>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</si>
  <si>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</si>
  <si>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</si>
  <si>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</si>
  <si>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</si>
  <si>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</si>
  <si>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</si>
  <si>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</si>
  <si>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</si>
  <si>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</si>
  <si>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</si>
  <si>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</si>
  <si>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</si>
  <si>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</si>
  <si>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</si>
  <si>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</si>
  <si>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</si>
  <si>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</si>
  <si>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</si>
  <si>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</si>
  <si>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</si>
  <si>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</si>
  <si>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</si>
  <si>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</si>
  <si>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</si>
  <si>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</si>
  <si>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</si>
  <si>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</si>
  <si>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</si>
  <si>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</si>
  <si>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</si>
  <si>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</si>
  <si>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</si>
  <si>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</si>
  <si>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</si>
  <si>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</si>
  <si>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</si>
  <si>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</si>
  <si>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</si>
  <si>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</si>
  <si>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</si>
  <si>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</si>
  <si>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</si>
  <si>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</si>
  <si>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</si>
  <si>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</si>
  <si>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</si>
  <si>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</si>
  <si>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</si>
  <si>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</si>
  <si>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</si>
  <si>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</si>
  <si>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</si>
  <si>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</si>
  <si>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</si>
  <si>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</si>
  <si>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</si>
  <si>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</si>
  <si>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</si>
  <si>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</si>
  <si>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</si>
  <si>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</si>
  <si>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</si>
  <si>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</si>
  <si>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</si>
  <si>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</si>
  <si>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</si>
  <si>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</si>
  <si>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</si>
  <si>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</si>
  <si>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</si>
  <si>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</si>
  <si>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</si>
  <si>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</si>
  <si>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</si>
  <si>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</si>
  <si>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</si>
  <si>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</si>
  <si>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</si>
  <si>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</si>
  <si>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</si>
  <si>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</si>
  <si>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</si>
  <si>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</si>
  <si>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</si>
  <si>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</si>
  <si>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</si>
  <si>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</si>
  <si>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</si>
  <si>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</si>
  <si>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</si>
  <si>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</si>
  <si>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</si>
  <si>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</si>
  <si>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</si>
  <si>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</si>
  <si>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</si>
  <si>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</si>
  <si>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</si>
  <si>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</si>
  <si>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</si>
  <si>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</si>
  <si>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</si>
  <si>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</si>
  <si>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</si>
  <si>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</si>
  <si>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</si>
  <si>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</si>
  <si>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</si>
  <si>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</si>
  <si>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</si>
  <si>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</si>
  <si>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</si>
  <si>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</si>
  <si>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</si>
  <si>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</si>
  <si>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</si>
  <si>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</si>
  <si>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</si>
  <si>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</si>
  <si>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</si>
  <si>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</si>
  <si>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</si>
  <si>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</si>
  <si>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</si>
  <si>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</si>
  <si>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</si>
  <si>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</si>
  <si>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</si>
  <si>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</si>
  <si>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</si>
  <si>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</si>
  <si>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</si>
  <si>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</si>
  <si>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</si>
  <si>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</si>
  <si>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</si>
  <si>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</si>
  <si>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</si>
  <si>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</si>
  <si>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</si>
  <si>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</si>
  <si>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</si>
  <si>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</si>
  <si>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</si>
  <si>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</si>
  <si>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</si>
  <si>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</si>
  <si>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</si>
  <si>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</si>
  <si>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</si>
  <si>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</si>
  <si>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</si>
  <si>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</si>
  <si>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</si>
  <si>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</si>
  <si>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</si>
  <si>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</si>
  <si>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</si>
  <si>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</si>
  <si>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</si>
  <si>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</si>
  <si>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</si>
  <si>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</si>
  <si>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</si>
  <si>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</si>
  <si>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</si>
  <si>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</si>
  <si>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</si>
  <si>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</si>
  <si>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</si>
  <si>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</si>
  <si>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</si>
  <si>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</si>
  <si>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</si>
  <si>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</si>
  <si>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</si>
  <si>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</si>
  <si>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</si>
  <si>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</si>
  <si>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</si>
  <si>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</si>
  <si>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</si>
  <si>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</si>
  <si>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</si>
  <si>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</si>
  <si>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</si>
  <si>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</si>
  <si>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</si>
  <si>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</si>
  <si>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</si>
  <si>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</si>
  <si>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</si>
  <si>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</si>
  <si>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</si>
  <si>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</si>
  <si>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</si>
  <si>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</si>
  <si>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</si>
  <si>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</si>
  <si>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</si>
  <si>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</si>
  <si>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</si>
  <si>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</si>
  <si>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</si>
  <si>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</si>
  <si>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</si>
  <si>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</si>
  <si>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</si>
  <si>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</si>
  <si>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</si>
  <si>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</si>
  <si>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</si>
  <si>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</si>
  <si>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</si>
  <si>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</si>
  <si>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</si>
  <si>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</si>
  <si>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</si>
  <si>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</si>
  <si>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</si>
  <si>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</si>
  <si>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</si>
  <si>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</si>
  <si>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</si>
  <si>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</si>
  <si>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</si>
  <si>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</si>
  <si>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</si>
  <si>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</si>
  <si>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</si>
  <si>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</si>
  <si>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</si>
  <si>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</si>
  <si>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</si>
  <si>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</si>
  <si>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</si>
  <si>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</si>
  <si>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</si>
  <si>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</si>
  <si>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</si>
  <si>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</si>
  <si>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</si>
  <si>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</si>
  <si>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</si>
  <si>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</si>
  <si>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</si>
  <si>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</si>
  <si>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</si>
  <si>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</si>
  <si>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</si>
  <si>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</si>
  <si>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</si>
  <si>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</si>
  <si>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</si>
  <si>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</si>
  <si>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</si>
  <si>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</si>
  <si>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</si>
  <si>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</si>
  <si>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</si>
  <si>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</si>
  <si>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</si>
  <si>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</si>
  <si>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</si>
  <si>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</si>
  <si>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</si>
  <si>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</si>
  <si>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</si>
  <si>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</si>
  <si>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</si>
  <si>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</si>
  <si>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</si>
  <si>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</si>
  <si>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</si>
  <si>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</si>
  <si>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</si>
  <si>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</si>
  <si>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</si>
  <si>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</si>
  <si>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</si>
  <si>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</si>
  <si>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</si>
  <si>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</si>
  <si>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</si>
  <si>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</si>
  <si>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</si>
  <si>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</si>
  <si>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</si>
  <si>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</si>
  <si>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</si>
  <si>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</si>
  <si>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</si>
  <si>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</si>
  <si>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</si>
  <si>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</si>
  <si>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</si>
  <si>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</si>
  <si>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</si>
  <si>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</si>
  <si>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</si>
  <si>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</si>
  <si>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</si>
  <si>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</si>
  <si>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</si>
  <si>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</si>
  <si>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</si>
  <si>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</si>
  <si>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</si>
  <si>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</si>
  <si>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</si>
  <si>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</si>
  <si>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</si>
  <si>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</si>
  <si>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</si>
  <si>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</si>
  <si>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</si>
  <si>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</si>
  <si>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</si>
  <si>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</si>
  <si>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</si>
  <si>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</si>
  <si>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</si>
  <si>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</si>
  <si>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</si>
  <si>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</si>
  <si>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</si>
  <si>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</si>
  <si>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</si>
  <si>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</si>
  <si>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</si>
  <si>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</si>
  <si>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</si>
  <si>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</si>
  <si>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</si>
  <si>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</si>
  <si>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</si>
  <si>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</si>
  <si>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</si>
  <si>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</si>
  <si>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</si>
  <si>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</si>
  <si>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</si>
  <si>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</si>
  <si>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</si>
  <si>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</si>
  <si>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</si>
  <si>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</si>
  <si>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</si>
  <si>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</si>
  <si>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</si>
  <si>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</si>
  <si>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</si>
  <si>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</si>
  <si>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</si>
  <si>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</si>
  <si>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</si>
  <si>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</si>
  <si>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</si>
  <si>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</si>
  <si>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</si>
  <si>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</si>
  <si>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</si>
  <si>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</si>
  <si>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</si>
  <si>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</si>
  <si>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</si>
  <si>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</si>
  <si>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</si>
  <si>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</si>
  <si>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</si>
  <si>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</si>
  <si>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</si>
  <si>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</si>
  <si>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</si>
  <si>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</si>
  <si>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</si>
  <si>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</si>
  <si>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</si>
  <si>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</si>
  <si>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</si>
  <si>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</si>
  <si>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</si>
  <si>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</si>
  <si>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</si>
  <si>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</si>
  <si>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</si>
  <si>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</si>
  <si>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</si>
  <si>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</si>
  <si>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</si>
  <si>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</si>
  <si>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</si>
  <si>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</si>
  <si>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</si>
  <si>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</si>
  <si>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</si>
  <si>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</si>
  <si>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</si>
  <si>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</si>
  <si>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</si>
  <si>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</si>
  <si>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</si>
  <si>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</si>
  <si>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</si>
  <si>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</si>
  <si>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</si>
  <si>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</si>
  <si>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</si>
  <si>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</si>
  <si>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</si>
  <si>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</si>
  <si>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</si>
  <si>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</si>
  <si>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</si>
  <si>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</si>
  <si>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</si>
  <si>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</si>
  <si>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</si>
  <si>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</si>
  <si>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</si>
  <si>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</si>
  <si>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</si>
  <si>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</si>
  <si>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</si>
  <si>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</si>
  <si>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</si>
  <si>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</si>
  <si>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</si>
  <si>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</si>
  <si>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</si>
  <si>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</si>
  <si>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</si>
  <si>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</si>
  <si>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</si>
  <si>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</si>
  <si>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</si>
  <si>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</si>
  <si>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</si>
  <si>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</si>
  <si>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</si>
  <si>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</si>
  <si>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</si>
  <si>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</si>
  <si>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</si>
  <si>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</si>
  <si>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</si>
  <si>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</si>
  <si>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</si>
  <si>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</si>
  <si>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</si>
  <si>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</si>
  <si>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</si>
  <si>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</si>
  <si>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</si>
  <si>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</si>
  <si>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</si>
  <si>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</si>
  <si>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</si>
  <si>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</si>
  <si>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</si>
  <si>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</si>
  <si>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</si>
  <si>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</si>
  <si>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</si>
  <si>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</si>
  <si>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</si>
  <si>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</si>
  <si>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</si>
  <si>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</si>
  <si>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</si>
  <si>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</si>
  <si>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</si>
  <si>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</si>
  <si>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</si>
  <si>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</si>
  <si>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</si>
  <si>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</si>
  <si>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</si>
  <si>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</si>
  <si>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</si>
  <si>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</si>
  <si>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</si>
  <si>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</si>
  <si>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</si>
  <si>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</si>
  <si>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</si>
  <si>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</si>
  <si>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</si>
  <si>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</si>
  <si>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</si>
  <si>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</si>
  <si>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</si>
  <si>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</si>
  <si>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</si>
  <si>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</si>
  <si>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</si>
  <si>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</si>
  <si>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</si>
  <si>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</si>
  <si>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</si>
  <si>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</si>
  <si>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</si>
  <si>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</si>
  <si>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</si>
  <si>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</si>
  <si>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</si>
  <si>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</si>
  <si>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</si>
  <si>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</si>
  <si>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</si>
  <si>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</si>
  <si>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</si>
  <si>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</si>
  <si>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</si>
  <si>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</si>
  <si>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</si>
  <si>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</si>
  <si>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</si>
  <si>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</si>
  <si>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</si>
  <si>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</si>
  <si>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</si>
  <si>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</si>
  <si>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</si>
  <si>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</si>
  <si>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</si>
  <si>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</si>
  <si>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</si>
  <si>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</si>
  <si>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</si>
  <si>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</si>
  <si>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</si>
  <si>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</si>
  <si>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</si>
  <si>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</si>
  <si>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</si>
  <si>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</si>
  <si>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</si>
  <si>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</si>
  <si>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</si>
  <si>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</si>
  <si>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</si>
  <si>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</si>
  <si>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</si>
  <si>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</si>
  <si>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</si>
  <si>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</si>
  <si>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</si>
  <si>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</si>
  <si>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</si>
  <si>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</si>
  <si>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</si>
  <si>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</si>
  <si>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</si>
  <si>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</si>
  <si>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</si>
  <si>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</si>
  <si>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</si>
  <si>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</si>
  <si>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</si>
  <si>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</si>
  <si>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</si>
  <si>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</si>
  <si>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</si>
  <si>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</si>
  <si>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</si>
  <si>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</si>
  <si>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</si>
  <si>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</si>
  <si>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</si>
  <si>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</si>
  <si>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</si>
  <si>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</si>
  <si>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</si>
  <si>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</si>
  <si>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</si>
  <si>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</si>
  <si>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</si>
  <si>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</si>
  <si>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</si>
  <si>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</si>
  <si>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</si>
  <si>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</si>
  <si>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</si>
  <si>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</si>
  <si>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</si>
  <si>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</si>
  <si>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</si>
  <si>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</si>
  <si>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</si>
  <si>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</si>
  <si>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</si>
  <si>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</si>
  <si>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</si>
  <si>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</si>
  <si>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</si>
  <si>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</si>
  <si>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</si>
  <si>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</si>
  <si>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</si>
  <si>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</si>
  <si>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</si>
  <si>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</si>
  <si>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</si>
  <si>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</si>
  <si>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</si>
  <si>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</si>
  <si>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</si>
  <si>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</si>
  <si>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</si>
  <si>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</si>
  <si>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</si>
  <si>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</si>
  <si>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</si>
  <si>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</si>
  <si>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</si>
  <si>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</si>
  <si>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</si>
  <si>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</si>
  <si>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</si>
  <si>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</si>
  <si>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</si>
  <si>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</si>
  <si>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</si>
  <si>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</si>
  <si>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</si>
  <si>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</si>
  <si>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</si>
  <si>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</si>
  <si>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</si>
  <si>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</si>
  <si>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</si>
  <si>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</si>
  <si>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</si>
  <si>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</si>
  <si>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</si>
  <si>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</si>
  <si>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</si>
  <si>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</si>
  <si>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</si>
  <si>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</si>
  <si>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</si>
  <si>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</si>
  <si>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</si>
  <si>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</si>
  <si>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</si>
  <si>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</si>
  <si>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</si>
  <si>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</si>
  <si>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</si>
  <si>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</si>
  <si>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</si>
  <si>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</si>
  <si>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</si>
  <si>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</si>
  <si>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</si>
  <si>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</si>
  <si>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</si>
  <si>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</si>
  <si>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</si>
  <si>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</si>
  <si>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</si>
  <si>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</si>
  <si>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</si>
  <si>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</si>
  <si>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</si>
  <si>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</si>
  <si>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</si>
  <si>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</si>
  <si>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</si>
  <si>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</si>
  <si>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</si>
  <si>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</si>
  <si>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</si>
  <si>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</si>
  <si>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</si>
  <si>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</si>
  <si>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</si>
  <si>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</si>
  <si>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</si>
  <si>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</si>
  <si>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</si>
  <si>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</si>
  <si>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</si>
  <si>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</si>
  <si>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</si>
  <si>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</si>
  <si>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</si>
  <si>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</si>
  <si>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</si>
  <si>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</si>
  <si>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</si>
  <si>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</si>
  <si>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</si>
  <si>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</si>
  <si>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</si>
  <si>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</si>
  <si>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</si>
  <si>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</si>
  <si>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</si>
  <si>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</si>
  <si>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</si>
  <si>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</si>
  <si>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</si>
  <si>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</si>
  <si>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</si>
  <si>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</si>
  <si>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</si>
  <si>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</si>
  <si>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</si>
  <si>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</si>
  <si>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</si>
  <si>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</si>
  <si>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</si>
  <si>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</si>
  <si>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</si>
  <si>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</si>
  <si>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</si>
  <si>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</si>
  <si>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</si>
  <si>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</si>
  <si>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</si>
  <si>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</si>
  <si>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</si>
  <si>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</si>
  <si>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</si>
  <si>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</si>
  <si>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</si>
  <si>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</si>
  <si>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</si>
  <si>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</si>
  <si>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</si>
  <si>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</si>
  <si>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</si>
  <si>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</si>
  <si>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</si>
  <si>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</si>
  <si>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</si>
  <si>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</si>
  <si>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</si>
  <si>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</si>
  <si>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</si>
  <si>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</si>
  <si>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</si>
  <si>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</si>
  <si>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</si>
  <si>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</si>
  <si>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</si>
  <si>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</si>
  <si>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</si>
  <si>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</si>
  <si>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</si>
  <si>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</si>
  <si>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</si>
  <si>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</si>
  <si>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</si>
  <si>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</si>
  <si>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</si>
  <si>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</si>
  <si>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</si>
  <si>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</si>
  <si>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</si>
  <si>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</si>
  <si>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</si>
  <si>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</si>
  <si>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</si>
  <si>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</si>
  <si>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</si>
  <si>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</si>
  <si>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</si>
  <si>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</si>
  <si>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</si>
  <si>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</si>
  <si>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</si>
  <si>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</si>
  <si>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</si>
  <si>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</si>
  <si>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</si>
  <si>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</si>
  <si>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</si>
  <si>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</si>
  <si>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</si>
  <si>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</si>
  <si>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</si>
  <si>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</si>
  <si>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</si>
  <si>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</si>
  <si>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</si>
  <si>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</si>
  <si>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</si>
  <si>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</si>
  <si>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</si>
  <si>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</si>
  <si>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</si>
  <si>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</si>
  <si>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</si>
  <si>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</si>
  <si>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</si>
  <si>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</si>
  <si>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</si>
  <si>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</si>
  <si>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</si>
  <si>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</si>
  <si>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</si>
  <si>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</si>
  <si>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</si>
  <si>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</si>
  <si>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</si>
  <si>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</si>
  <si>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</si>
  <si>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</si>
  <si>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</si>
  <si>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</si>
  <si>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</si>
  <si>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</si>
  <si>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</si>
  <si>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</si>
  <si>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</si>
  <si>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</si>
  <si>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</si>
  <si>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</si>
  <si>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</si>
  <si>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</si>
  <si>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</si>
  <si>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</si>
  <si>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</si>
  <si>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</si>
  <si>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</si>
  <si>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</si>
  <si>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</si>
  <si>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</si>
  <si>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</si>
  <si>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</si>
  <si>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</si>
  <si>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</si>
  <si>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</si>
  <si>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</si>
  <si>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</si>
  <si>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</si>
  <si>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</si>
  <si>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</si>
  <si>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</si>
  <si>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</si>
  <si>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</si>
  <si>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</si>
  <si>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</si>
  <si>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</si>
  <si>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</si>
  <si>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</si>
  <si>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</si>
  <si>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</si>
  <si>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</si>
  <si>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</si>
  <si>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</si>
  <si>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</si>
  <si>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</si>
  <si>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</si>
  <si>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</si>
  <si>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</si>
  <si>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</si>
  <si>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</si>
  <si>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</si>
  <si>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</si>
  <si>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</si>
  <si>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</si>
  <si>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</si>
  <si>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</si>
  <si>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</si>
  <si>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</si>
  <si>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x</t>
  </si>
  <si>
    <t>Kenai River Baseline Water Quality Monitoring</t>
  </si>
  <si>
    <t>907-232-0280</t>
  </si>
  <si>
    <t>Please include Electronic Data Delivery files.</t>
  </si>
  <si>
    <t>Total NO3/NO2(SM21 4500NO3-F), Total P(SM4500)</t>
  </si>
  <si>
    <t>RM 70 - Jim's Landing</t>
  </si>
  <si>
    <t>RM 74 - Russian River</t>
  </si>
  <si>
    <t>RM 82 - Kenai Lake Bridge</t>
  </si>
  <si>
    <t>RM 79.5 - Juneau Creek</t>
  </si>
  <si>
    <t>Page  __3__ of ____</t>
  </si>
  <si>
    <t>Please provide all Electronic Data Delivery (EDD) files on SGS Enegage when available.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</si>
</sst>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81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90" fillId="0" borderId="0" xfId="0" applyFont="1" applyAlignment="1">
      <alignment horizontal="left" wrapText="1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14" fontId="15" fillId="0" borderId="15" xfId="0" applyNumberFormat="1" applyFont="1" applyBorder="1" applyAlignment="1">
      <alignment horizontal="center" vertical="top"/>
    </xf>
    <xf numFmtId="14" fontId="15" fillId="0" borderId="0" xfId="0" applyNumberFormat="1" applyFont="1" applyBorder="1" applyAlignment="1">
      <alignment horizontal="center" vertical="top"/>
    </xf>
    <xf numFmtId="14" fontId="15" fillId="0" borderId="16" xfId="0" applyNumberFormat="1" applyFont="1" applyBorder="1" applyAlignment="1">
      <alignment horizontal="center" vertical="top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3" fillId="0" borderId="50" xfId="0" applyFont="1" applyBorder="1" applyAlignment="1">
      <alignment horizontal="center" vertical="center" textRotation="90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55" fillId="0" borderId="15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5" fillId="0" borderId="17" xfId="0" applyFont="1" applyFill="1" applyBorder="1" applyAlignment="1">
      <alignment horizontal="center" vertical="center" wrapText="1"/>
    </xf>
    <xf numFmtId="0" fontId="55" fillId="0" borderId="19" xfId="0" applyFont="1" applyFill="1" applyBorder="1" applyAlignment="1">
      <alignment horizontal="center" vertical="center" wrapText="1"/>
    </xf>
    <xf numFmtId="0" fontId="55" fillId="0" borderId="18" xfId="0" applyFont="1" applyFill="1" applyBorder="1" applyAlignment="1">
      <alignment horizontal="center" vertical="center" wrapText="1"/>
    </xf>
    <xf numFmtId="0" fontId="55" fillId="0" borderId="21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14" fontId="15" fillId="0" borderId="4" xfId="0" applyNumberFormat="1" applyFont="1" applyBorder="1" applyAlignment="1">
      <alignment vertic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1" fillId="0" borderId="17" xfId="0" applyFont="1" applyBorder="1" applyAlignment="1">
      <alignment vertical="center"/>
    </xf>
    <xf numFmtId="0" fontId="15" fillId="0" borderId="23" xfId="0" applyNumberFormat="1" applyFont="1" applyBorder="1" applyAlignment="1">
      <alignment horizont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49" fontId="3" fillId="0" borderId="27" xfId="0" applyNumberFormat="1" applyFont="1" applyBorder="1" applyAlignment="1">
      <alignment horizontal="left" vertical="center" wrapText="1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0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15" fillId="0" borderId="7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3" fillId="0" borderId="74" xfId="0" applyFont="1" applyBorder="1" applyAlignment="1">
      <alignment horizontal="center" vertic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0" borderId="48" xfId="2" applyFont="1" applyBorder="1" applyAlignment="1">
      <alignment horizontal="center" vertical="center"/>
    </xf>
    <xf numFmtId="0" fontId="15" fillId="0" borderId="30" xfId="2" applyFont="1" applyBorder="1" applyAlignment="1">
      <alignment horizontal="center" vertical="center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3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26" xfId="2" applyFont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5" fillId="0" borderId="57" xfId="2" applyFont="1" applyBorder="1" applyAlignment="1">
      <alignment horizontal="center"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4" xfId="2" applyFont="1" applyBorder="1" applyAlignment="1">
      <alignment horizontal="center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0" fontId="13" fillId="0" borderId="50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15" fillId="0" borderId="1" xfId="2" applyFont="1" applyBorder="1" applyAlignment="1">
      <alignment horizontal="left" vertical="center" wrapText="1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14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1" fillId="0" borderId="31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2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9" xfId="2" applyBorder="1" applyAlignment="1">
      <alignment horizontal="center"/>
    </xf>
    <xf numFmtId="0" fontId="11" fillId="0" borderId="38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11" fillId="0" borderId="15" xfId="2" applyBorder="1" applyAlignment="1">
      <alignment horizontal="center"/>
    </xf>
    <xf numFmtId="0" fontId="11" fillId="0" borderId="16" xfId="2" applyBorder="1" applyAlignment="1">
      <alignment horizontal="center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11" fillId="0" borderId="25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3" xfId="2" applyBorder="1" applyAlignment="1">
      <alignment horizontal="center"/>
    </xf>
    <xf numFmtId="0" fontId="11" fillId="0" borderId="54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41" xfId="2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19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20" xfId="2" applyBorder="1" applyAlignment="1">
      <alignment horizontal="center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0" borderId="22" xfId="2" applyFont="1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0" borderId="61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5" xfId="3" applyFont="1" applyBorder="1" applyAlignment="1">
      <alignment horizontal="center" vertical="top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10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70" fillId="0" borderId="10" xfId="3" applyFont="1" applyBorder="1" applyAlignment="1">
      <alignment horizontal="center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18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vertical="top"/>
    </xf>
    <xf numFmtId="0" fontId="11" fillId="0" borderId="1" xfId="0" applyFont="1" applyFill="1" applyBorder="1" applyAlignment="1"/>
    <xf numFmtId="0" fontId="11" fillId="0" borderId="1" xfId="0" applyFont="1" applyFill="1" applyBorder="1" applyAlignment="1">
      <alignment horizontal="center" vertical="center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/>
    <xf numFmtId="0" fontId="11" fillId="0" borderId="48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30" xfId="0" applyFont="1" applyFill="1" applyBorder="1" applyAlignment="1"/>
    <xf numFmtId="0" fontId="85" fillId="0" borderId="48" xfId="2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85" fillId="0" borderId="19" xfId="2" applyFont="1" applyFill="1" applyBorder="1" applyAlignment="1">
      <alignment horizontal="center" vertic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4" t="s">
        <v>961</v>
      </c>
      <c r="E1" s="614"/>
      <c r="F1" s="614"/>
      <c r="G1" s="614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C19" sqref="C19:D19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46" t="str">
        <f>CONCATENATE("*",C7,"_",C10,"_",(TEXT(L11,"yyyymmdd")),"*")</f>
        <v>*Kenai Watershed Forum_Kenai River Baseline Water Quality Monitoring_19000100*</v>
      </c>
      <c r="G1" s="647"/>
      <c r="H1" s="647"/>
      <c r="I1" s="647"/>
      <c r="J1" s="647"/>
      <c r="K1" s="647"/>
      <c r="L1" s="647"/>
    </row>
    <row r="2" spans="1:27" ht="36" customHeight="1">
      <c r="F2" s="647"/>
      <c r="G2" s="647"/>
      <c r="H2" s="647"/>
      <c r="I2" s="647"/>
      <c r="J2" s="647"/>
      <c r="K2" s="647"/>
      <c r="L2" s="647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47"/>
      <c r="G3" s="647"/>
      <c r="H3" s="647"/>
      <c r="I3" s="647"/>
      <c r="J3" s="647"/>
      <c r="K3" s="647"/>
      <c r="L3" s="647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48" t="s">
        <v>77</v>
      </c>
      <c r="G4" s="648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2" t="s">
        <v>546</v>
      </c>
      <c r="J5" s="632"/>
      <c r="K5" s="632"/>
      <c r="L5" s="632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3"/>
      <c r="K6" s="633"/>
      <c r="L6" s="633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55" t="s">
        <v>1181</v>
      </c>
      <c r="D7" s="655"/>
      <c r="E7" s="655"/>
      <c r="F7" s="655"/>
      <c r="G7" s="153"/>
      <c r="H7" s="185"/>
      <c r="I7" s="194" t="s">
        <v>545</v>
      </c>
      <c r="J7" s="634"/>
      <c r="K7" s="634"/>
      <c r="L7" s="634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53" t="s">
        <v>1182</v>
      </c>
      <c r="D8" s="653"/>
      <c r="E8" s="607"/>
      <c r="F8" s="608"/>
      <c r="G8" s="153"/>
      <c r="H8" s="185"/>
      <c r="I8" s="194" t="s">
        <v>435</v>
      </c>
      <c r="J8" s="634"/>
      <c r="K8" s="634"/>
      <c r="L8" s="634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54" t="s">
        <v>1183</v>
      </c>
      <c r="D9" s="653"/>
      <c r="E9" s="653"/>
      <c r="F9" s="653"/>
      <c r="G9" s="153"/>
      <c r="I9" s="199" t="s">
        <v>437</v>
      </c>
      <c r="J9" s="635"/>
      <c r="K9" s="635"/>
      <c r="L9" s="635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4" t="s">
        <v>439</v>
      </c>
      <c r="B10" s="644"/>
      <c r="C10" s="653" t="s">
        <v>1192</v>
      </c>
      <c r="D10" s="653"/>
      <c r="E10" s="609" t="s">
        <v>751</v>
      </c>
      <c r="F10" s="610"/>
      <c r="G10" s="153"/>
      <c r="I10" s="199" t="s">
        <v>438</v>
      </c>
      <c r="J10" s="634"/>
      <c r="K10" s="634"/>
      <c r="L10" s="634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5" t="s">
        <v>440</v>
      </c>
      <c r="B11" s="645"/>
      <c r="C11" s="653"/>
      <c r="D11" s="653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7" t="s">
        <v>748</v>
      </c>
      <c r="B12" s="637"/>
      <c r="C12" s="653"/>
      <c r="D12" s="653"/>
      <c r="E12" s="655"/>
      <c r="F12" s="653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7"/>
      <c r="B13" s="637"/>
      <c r="C13" s="656" t="s">
        <v>1188</v>
      </c>
      <c r="D13" s="656"/>
      <c r="E13" s="656"/>
      <c r="F13" s="656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7"/>
      <c r="B14" s="637"/>
      <c r="C14" s="656" t="s">
        <v>1189</v>
      </c>
      <c r="D14" s="656"/>
      <c r="E14" s="656"/>
      <c r="F14" s="656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38" t="s">
        <v>82</v>
      </c>
      <c r="C16" s="638" t="s">
        <v>451</v>
      </c>
      <c r="D16" s="649"/>
      <c r="E16" s="638" t="s">
        <v>452</v>
      </c>
      <c r="F16" s="640"/>
      <c r="G16" s="638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50"/>
      <c r="C17" s="650"/>
      <c r="D17" s="650"/>
      <c r="E17" s="641"/>
      <c r="F17" s="639"/>
      <c r="G17" s="639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51" t="s">
        <v>1195</v>
      </c>
      <c r="D18" s="652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36" t="s">
        <v>1185</v>
      </c>
      <c r="D19" s="636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36" t="s">
        <v>1186</v>
      </c>
      <c r="D20" s="636"/>
      <c r="E20" s="214" t="s">
        <v>518</v>
      </c>
      <c r="F20" s="213" t="s">
        <v>445</v>
      </c>
      <c r="G20" s="213" t="s">
        <v>251</v>
      </c>
      <c r="H20" s="213"/>
      <c r="I20" s="213"/>
      <c r="J20" s="213" t="s">
        <v>252</v>
      </c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36"/>
      <c r="D21" s="636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36"/>
      <c r="D22" s="636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57"/>
      <c r="D23" s="658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57" t="s">
        <v>19</v>
      </c>
      <c r="D24" s="658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57"/>
      <c r="D25" s="658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57"/>
      <c r="D26" s="658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57"/>
      <c r="D27" s="658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57"/>
      <c r="D28" s="658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57"/>
      <c r="D29" s="658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42" t="s">
        <v>1135</v>
      </c>
      <c r="B30" s="643"/>
      <c r="C30" s="643"/>
      <c r="D30" s="643"/>
      <c r="E30" s="643"/>
      <c r="F30" s="643"/>
      <c r="G30" s="643"/>
      <c r="H30" s="643"/>
      <c r="I30" s="643"/>
      <c r="J30" s="643"/>
      <c r="K30" s="643"/>
      <c r="L30" s="643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17" t="s">
        <v>1133</v>
      </c>
      <c r="B31" s="617"/>
      <c r="C31" s="617"/>
      <c r="D31" s="617"/>
      <c r="E31" s="617"/>
      <c r="F31" s="618"/>
      <c r="G31" s="630" t="s">
        <v>1130</v>
      </c>
      <c r="H31" s="630"/>
      <c r="I31" s="630"/>
      <c r="J31" s="615" t="s">
        <v>462</v>
      </c>
      <c r="K31" s="616"/>
      <c r="L31" s="616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20" t="s">
        <v>1104</v>
      </c>
      <c r="B32" s="620"/>
      <c r="C32" s="620"/>
      <c r="D32" s="619" t="s">
        <v>1103</v>
      </c>
      <c r="E32" s="619"/>
      <c r="F32" s="619"/>
      <c r="G32" s="621" t="s">
        <v>1190</v>
      </c>
      <c r="H32" s="622"/>
      <c r="I32" s="623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20" t="s">
        <v>1105</v>
      </c>
      <c r="B33" s="620"/>
      <c r="C33" s="620"/>
      <c r="D33" s="619" t="s">
        <v>1111</v>
      </c>
      <c r="E33" s="619"/>
      <c r="F33" s="619"/>
      <c r="G33" s="624"/>
      <c r="H33" s="625"/>
      <c r="I33" s="626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20" t="s">
        <v>1106</v>
      </c>
      <c r="B34" s="620"/>
      <c r="C34" s="620"/>
      <c r="D34" s="619" t="s">
        <v>806</v>
      </c>
      <c r="E34" s="619"/>
      <c r="F34" s="619"/>
      <c r="G34" s="624"/>
      <c r="H34" s="625"/>
      <c r="I34" s="626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20" t="s">
        <v>1107</v>
      </c>
      <c r="B35" s="620"/>
      <c r="C35" s="620"/>
      <c r="D35" s="619" t="s">
        <v>807</v>
      </c>
      <c r="E35" s="619"/>
      <c r="F35" s="619"/>
      <c r="G35" s="624"/>
      <c r="H35" s="625"/>
      <c r="I35" s="626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20" t="s">
        <v>1108</v>
      </c>
      <c r="B36" s="620"/>
      <c r="C36" s="620"/>
      <c r="D36" s="619" t="s">
        <v>807</v>
      </c>
      <c r="E36" s="619"/>
      <c r="F36" s="619"/>
      <c r="G36" s="624"/>
      <c r="H36" s="625"/>
      <c r="I36" s="626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20" t="s">
        <v>1109</v>
      </c>
      <c r="B37" s="620"/>
      <c r="C37" s="620"/>
      <c r="D37" s="619" t="s">
        <v>806</v>
      </c>
      <c r="E37" s="619"/>
      <c r="F37" s="619"/>
      <c r="G37" s="624"/>
      <c r="H37" s="625"/>
      <c r="I37" s="626"/>
      <c r="J37" s="593" t="s">
        <v>1127</v>
      </c>
      <c r="K37" s="591"/>
      <c r="L37" s="591"/>
      <c r="M37" s="185"/>
    </row>
    <row r="38" spans="1:27" s="186" customFormat="1" ht="19.899999999999999" customHeight="1">
      <c r="A38" s="620" t="s">
        <v>1110</v>
      </c>
      <c r="B38" s="620"/>
      <c r="C38" s="620"/>
      <c r="D38" s="619" t="s">
        <v>807</v>
      </c>
      <c r="E38" s="619"/>
      <c r="F38" s="619"/>
      <c r="G38" s="624"/>
      <c r="H38" s="625"/>
      <c r="I38" s="626"/>
      <c r="J38" s="591"/>
      <c r="K38" s="591"/>
      <c r="L38" s="591"/>
      <c r="M38" s="185"/>
    </row>
    <row r="39" spans="1:27" s="186" customFormat="1" ht="19.899999999999999" customHeight="1">
      <c r="A39" s="620" t="s">
        <v>1116</v>
      </c>
      <c r="B39" s="620"/>
      <c r="C39" s="620"/>
      <c r="D39" s="619" t="s">
        <v>1117</v>
      </c>
      <c r="E39" s="619"/>
      <c r="F39" s="619"/>
      <c r="G39" s="624"/>
      <c r="H39" s="625"/>
      <c r="I39" s="626"/>
      <c r="J39" s="591"/>
      <c r="K39" s="591"/>
      <c r="L39" s="591"/>
      <c r="M39" s="185"/>
    </row>
    <row r="40" spans="1:27" s="186" customFormat="1" ht="19.899999999999999" customHeight="1">
      <c r="A40" s="631" t="s">
        <v>1134</v>
      </c>
      <c r="B40" s="631"/>
      <c r="C40" s="631"/>
      <c r="D40" s="619" t="s">
        <v>806</v>
      </c>
      <c r="E40" s="619"/>
      <c r="F40" s="619"/>
      <c r="G40" s="627"/>
      <c r="H40" s="628"/>
      <c r="I40" s="629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B16:B17"/>
    <mergeCell ref="C29:D29"/>
    <mergeCell ref="C28:D28"/>
    <mergeCell ref="C26:D26"/>
    <mergeCell ref="C27:D27"/>
    <mergeCell ref="C25:D25"/>
    <mergeCell ref="C24:D24"/>
    <mergeCell ref="C23:D23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D32:F32"/>
    <mergeCell ref="D33:F33"/>
    <mergeCell ref="D34:F34"/>
    <mergeCell ref="D35:F35"/>
    <mergeCell ref="D36:F36"/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87" t="s">
        <v>667</v>
      </c>
      <c r="F1" s="687"/>
      <c r="G1" s="687"/>
      <c r="H1" s="687"/>
      <c r="J1" s="117"/>
      <c r="K1" s="118"/>
      <c r="L1" s="118"/>
    </row>
    <row r="2" spans="1:12" ht="15" customHeight="1">
      <c r="E2" s="687"/>
      <c r="F2" s="687"/>
      <c r="G2" s="687"/>
      <c r="H2" s="687"/>
      <c r="I2" s="117"/>
      <c r="J2" s="118"/>
      <c r="K2" s="118"/>
      <c r="L2" s="118"/>
    </row>
    <row r="3" spans="1:12" ht="15.75" customHeight="1">
      <c r="C3" s="117"/>
      <c r="D3" s="117"/>
      <c r="E3" s="687"/>
      <c r="F3" s="687"/>
      <c r="G3" s="687"/>
      <c r="H3" s="687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88" t="s">
        <v>668</v>
      </c>
      <c r="E5" s="689"/>
      <c r="F5" s="138"/>
      <c r="G5" s="119"/>
      <c r="H5" s="120"/>
      <c r="I5" s="690" t="s">
        <v>669</v>
      </c>
      <c r="J5" s="690"/>
      <c r="K5" s="690"/>
    </row>
    <row r="6" spans="1:12" ht="14.25" customHeight="1">
      <c r="B6" s="117"/>
      <c r="D6" s="691" t="s">
        <v>670</v>
      </c>
      <c r="E6" s="692"/>
      <c r="F6" s="692"/>
      <c r="G6" s="693"/>
      <c r="H6" s="120"/>
      <c r="I6" s="690"/>
      <c r="J6" s="690"/>
      <c r="K6" s="690"/>
    </row>
    <row r="7" spans="1:12" ht="14.25" customHeight="1">
      <c r="B7" s="117"/>
      <c r="D7" s="691" t="s">
        <v>671</v>
      </c>
      <c r="E7" s="694"/>
      <c r="F7" s="694"/>
      <c r="G7" s="695"/>
      <c r="H7" s="120"/>
      <c r="I7" s="690"/>
      <c r="J7" s="690"/>
      <c r="K7" s="690"/>
    </row>
    <row r="8" spans="1:12" ht="14.25" customHeight="1">
      <c r="B8" s="117"/>
      <c r="D8" s="691" t="s">
        <v>672</v>
      </c>
      <c r="E8" s="694"/>
      <c r="F8" s="694"/>
      <c r="G8" s="695"/>
      <c r="H8" s="120"/>
      <c r="I8" s="690"/>
      <c r="J8" s="690"/>
      <c r="K8" s="690"/>
    </row>
    <row r="9" spans="1:12" ht="15.75" thickBot="1">
      <c r="B9" s="117"/>
      <c r="D9" s="696" t="s">
        <v>673</v>
      </c>
      <c r="E9" s="697"/>
      <c r="F9" s="697"/>
      <c r="G9" s="698"/>
      <c r="H9" s="121"/>
      <c r="I9" s="122"/>
      <c r="J9" s="122"/>
      <c r="K9" s="122"/>
    </row>
    <row r="10" spans="1:12" ht="15">
      <c r="B10" s="117"/>
      <c r="C10" s="699"/>
      <c r="D10" s="699"/>
      <c r="E10" s="699"/>
      <c r="F10" s="699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700" t="str">
        <f>IF('2 - Kit Request'!C7:F7="","",'2 - Kit Request'!C7:F7)</f>
        <v>Kenai Watershed Forum</v>
      </c>
      <c r="D11" s="700"/>
      <c r="E11" s="700"/>
      <c r="F11" s="700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701"/>
      <c r="D12" s="701"/>
      <c r="E12" s="701"/>
      <c r="F12" s="701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82" t="str">
        <f>IF('2 - Kit Request'!F8="","",'2 - Kit Request'!F8)</f>
        <v/>
      </c>
      <c r="D13" s="682"/>
      <c r="E13" s="682"/>
      <c r="F13" s="682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82" t="str">
        <f>'2 - Kit Request'!C12:F12&amp;", "&amp;'2 - Kit Request'!C13:F13</f>
        <v>, 44129 Sterling Hwy</v>
      </c>
      <c r="D14" s="682"/>
      <c r="E14" s="682"/>
      <c r="F14" s="682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82" t="str">
        <f>IF('2 - Kit Request'!C9:F9="","",'2 - Kit Request'!C9:F9)</f>
        <v>ben@kenaiwatershed.org</v>
      </c>
      <c r="D15" s="682"/>
      <c r="E15" s="682"/>
      <c r="F15" s="682"/>
      <c r="I15" s="143"/>
      <c r="J15" s="143"/>
      <c r="K15" s="136" t="s">
        <v>717</v>
      </c>
    </row>
    <row r="16" spans="1:12" ht="16.5" thickBot="1">
      <c r="A16" s="683" t="s">
        <v>439</v>
      </c>
      <c r="B16" s="683"/>
      <c r="C16" s="684" t="s">
        <v>677</v>
      </c>
      <c r="D16" s="684"/>
      <c r="E16" s="684"/>
      <c r="F16" s="684"/>
      <c r="I16" s="143"/>
      <c r="J16" s="143"/>
      <c r="K16" s="136" t="s">
        <v>718</v>
      </c>
    </row>
    <row r="17" spans="1:12" ht="18.75">
      <c r="A17" s="685" t="s">
        <v>685</v>
      </c>
      <c r="B17" s="685"/>
      <c r="C17" s="685"/>
      <c r="D17" s="685"/>
      <c r="E17" s="685"/>
      <c r="F17" s="685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6" t="s">
        <v>686</v>
      </c>
      <c r="C19" s="686"/>
      <c r="D19" s="686"/>
      <c r="E19" s="686"/>
      <c r="F19" s="686"/>
      <c r="H19" s="659" t="s">
        <v>438</v>
      </c>
      <c r="I19" s="660"/>
      <c r="J19" s="660"/>
      <c r="K19" s="660"/>
      <c r="L19" s="661"/>
    </row>
    <row r="20" spans="1:12" ht="16.5" thickBot="1">
      <c r="A20" s="672"/>
      <c r="B20" s="672"/>
      <c r="C20" s="672"/>
      <c r="D20" s="672"/>
      <c r="E20" s="672"/>
      <c r="F20" s="672"/>
      <c r="H20" s="662"/>
      <c r="I20" s="663"/>
      <c r="J20" s="663"/>
      <c r="K20" s="663"/>
      <c r="L20" s="664"/>
    </row>
    <row r="21" spans="1:12" ht="16.5" thickBot="1">
      <c r="A21" s="673" t="s">
        <v>678</v>
      </c>
      <c r="B21" s="674"/>
      <c r="C21" s="675"/>
      <c r="D21" s="124"/>
      <c r="E21" s="125"/>
      <c r="F21" s="125"/>
      <c r="H21" s="662"/>
      <c r="I21" s="663"/>
      <c r="J21" s="663"/>
      <c r="K21" s="663"/>
      <c r="L21" s="664"/>
    </row>
    <row r="22" spans="1:12" ht="30">
      <c r="A22" s="676" t="s">
        <v>679</v>
      </c>
      <c r="B22" s="677"/>
      <c r="C22" s="126" t="s">
        <v>680</v>
      </c>
      <c r="D22" s="125"/>
      <c r="E22" s="125"/>
      <c r="F22" s="127"/>
      <c r="H22" s="662"/>
      <c r="I22" s="663"/>
      <c r="J22" s="663"/>
      <c r="K22" s="663"/>
      <c r="L22" s="664"/>
    </row>
    <row r="23" spans="1:12" ht="30" customHeight="1">
      <c r="A23" s="678" t="s">
        <v>681</v>
      </c>
      <c r="B23" s="679"/>
      <c r="C23" s="128"/>
      <c r="D23" s="125"/>
      <c r="E23" s="125"/>
      <c r="F23" s="127"/>
      <c r="H23" s="662"/>
      <c r="I23" s="663"/>
      <c r="J23" s="663"/>
      <c r="K23" s="663"/>
      <c r="L23" s="664"/>
    </row>
    <row r="24" spans="1:12" ht="15.75">
      <c r="A24" s="680" t="s">
        <v>687</v>
      </c>
      <c r="B24" s="681"/>
      <c r="C24" s="128"/>
      <c r="D24" s="125"/>
      <c r="E24" s="125"/>
      <c r="F24" s="127"/>
      <c r="H24" s="662"/>
      <c r="I24" s="663"/>
      <c r="J24" s="663"/>
      <c r="K24" s="663"/>
      <c r="L24" s="664"/>
    </row>
    <row r="25" spans="1:12" ht="29.25" customHeight="1">
      <c r="A25" s="678" t="s">
        <v>688</v>
      </c>
      <c r="B25" s="679"/>
      <c r="C25" s="128"/>
      <c r="D25" s="124"/>
      <c r="E25" s="125"/>
      <c r="F25" s="127"/>
      <c r="H25" s="662"/>
      <c r="I25" s="663"/>
      <c r="J25" s="663"/>
      <c r="K25" s="663"/>
      <c r="L25" s="664"/>
    </row>
    <row r="26" spans="1:12" ht="15.75">
      <c r="A26" s="668" t="s">
        <v>682</v>
      </c>
      <c r="B26" s="669"/>
      <c r="C26" s="128"/>
      <c r="D26" s="124"/>
      <c r="E26" s="125"/>
      <c r="F26" s="127"/>
      <c r="H26" s="662"/>
      <c r="I26" s="663"/>
      <c r="J26" s="663"/>
      <c r="K26" s="663"/>
      <c r="L26" s="664"/>
    </row>
    <row r="27" spans="1:12" ht="15.75">
      <c r="A27" s="668"/>
      <c r="B27" s="669"/>
      <c r="C27" s="128"/>
      <c r="D27" s="124"/>
      <c r="E27" s="125"/>
      <c r="F27" s="127"/>
      <c r="H27" s="662"/>
      <c r="I27" s="663"/>
      <c r="J27" s="663"/>
      <c r="K27" s="663"/>
      <c r="L27" s="664"/>
    </row>
    <row r="28" spans="1:12" ht="15.75">
      <c r="A28" s="668"/>
      <c r="B28" s="669"/>
      <c r="C28" s="128"/>
      <c r="D28" s="124"/>
      <c r="E28" s="125"/>
      <c r="F28" s="127"/>
      <c r="H28" s="662"/>
      <c r="I28" s="663"/>
      <c r="J28" s="663"/>
      <c r="K28" s="663"/>
      <c r="L28" s="664"/>
    </row>
    <row r="29" spans="1:12" ht="16.5" thickBot="1">
      <c r="A29" s="670"/>
      <c r="B29" s="671"/>
      <c r="C29" s="129"/>
      <c r="D29" s="124"/>
      <c r="E29" s="125"/>
      <c r="F29" s="127"/>
      <c r="H29" s="665"/>
      <c r="I29" s="666"/>
      <c r="J29" s="666"/>
      <c r="K29" s="666"/>
      <c r="L29" s="66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  <mergeCell ref="C15:F15"/>
    <mergeCell ref="A16:B16"/>
    <mergeCell ref="C16:F16"/>
    <mergeCell ref="A17:F17"/>
    <mergeCell ref="B19:F19"/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tabSelected="1" zoomScale="85" zoomScaleNormal="85" workbookViewId="0">
      <selection activeCell="AC19" sqref="AC19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70"/>
      <c r="AG1" s="770"/>
      <c r="AH1" s="770"/>
      <c r="AI1" s="770"/>
      <c r="AJ1" s="771"/>
      <c r="AK1" s="34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594" t="s">
        <v>0</v>
      </c>
      <c r="D7" s="595"/>
      <c r="E7" s="595"/>
      <c r="F7" s="711" t="str">
        <f>'2 - Kit Request'!C7</f>
        <v>Kenai Watershed Forum</v>
      </c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2"/>
      <c r="V7" s="708" t="s">
        <v>541</v>
      </c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10"/>
      <c r="AI7" s="774" t="s">
        <v>1200</v>
      </c>
      <c r="AJ7" s="775"/>
      <c r="AK7" s="775"/>
      <c r="AL7" s="776"/>
    </row>
    <row r="8" spans="2:42" s="2" customFormat="1" ht="40.15" customHeight="1" thickBot="1">
      <c r="B8" s="705"/>
      <c r="C8" s="596" t="s">
        <v>1</v>
      </c>
      <c r="D8" s="597"/>
      <c r="E8" s="597"/>
      <c r="F8" s="837" t="s">
        <v>1182</v>
      </c>
      <c r="G8" s="837"/>
      <c r="H8" s="837"/>
      <c r="I8" s="837"/>
      <c r="J8" s="837"/>
      <c r="K8" s="837"/>
      <c r="L8" s="598" t="s">
        <v>706</v>
      </c>
      <c r="M8" s="599"/>
      <c r="N8" s="599"/>
      <c r="O8" s="837" t="s">
        <v>1193</v>
      </c>
      <c r="P8" s="837"/>
      <c r="Q8" s="837"/>
      <c r="R8" s="837"/>
      <c r="S8" s="837"/>
      <c r="T8" s="837"/>
      <c r="U8" s="838"/>
      <c r="V8" s="713" t="s">
        <v>537</v>
      </c>
      <c r="W8" s="714"/>
      <c r="X8" s="715"/>
      <c r="Y8" s="152"/>
      <c r="Z8" s="779" t="s">
        <v>85</v>
      </c>
      <c r="AA8" s="779"/>
      <c r="AB8" s="779"/>
      <c r="AC8" s="779"/>
      <c r="AD8" s="779"/>
      <c r="AE8" s="779"/>
      <c r="AF8" s="779"/>
      <c r="AG8" s="779"/>
      <c r="AH8" s="779"/>
      <c r="AI8" s="777"/>
      <c r="AJ8" s="777"/>
      <c r="AK8" s="777"/>
      <c r="AL8" s="778"/>
    </row>
    <row r="9" spans="2:42" s="2" customFormat="1" ht="40.15" customHeight="1" thickBot="1">
      <c r="B9" s="705"/>
      <c r="C9" s="810" t="s">
        <v>37</v>
      </c>
      <c r="D9" s="811"/>
      <c r="E9" s="811"/>
      <c r="F9" s="837" t="str">
        <f>'2 - Kit Request'!C10</f>
        <v>Kenai River Baseline Water Quality Monitoring</v>
      </c>
      <c r="G9" s="837"/>
      <c r="H9" s="837"/>
      <c r="I9" s="837"/>
      <c r="J9" s="837"/>
      <c r="K9" s="837"/>
      <c r="L9" s="812" t="s">
        <v>38</v>
      </c>
      <c r="M9" s="813"/>
      <c r="N9" s="813"/>
      <c r="O9" s="841">
        <f>'2 - Kit Request'!F10</f>
        <v>0</v>
      </c>
      <c r="P9" s="841"/>
      <c r="Q9" s="841"/>
      <c r="R9" s="841"/>
      <c r="S9" s="841"/>
      <c r="T9" s="841"/>
      <c r="U9" s="842"/>
      <c r="V9" s="845" t="s">
        <v>58</v>
      </c>
      <c r="W9" s="823"/>
      <c r="X9" s="824"/>
      <c r="Y9" s="154" t="str">
        <f>'2 - Kit Request'!G18</f>
        <v>H2SO4</v>
      </c>
      <c r="Z9" s="155" t="str">
        <f>'2 - Kit Request'!G19</f>
        <v>HNO3</v>
      </c>
      <c r="AA9" s="155"/>
      <c r="AB9" s="155">
        <f>'2 - Kit Request'!G21</f>
        <v>0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5"/>
      <c r="C10" s="600" t="s">
        <v>2</v>
      </c>
      <c r="D10" s="600"/>
      <c r="E10" s="600"/>
      <c r="F10" s="601"/>
      <c r="G10" s="826"/>
      <c r="H10" s="826"/>
      <c r="I10" s="826"/>
      <c r="J10" s="826"/>
      <c r="K10" s="826"/>
      <c r="L10" s="816" t="s">
        <v>28</v>
      </c>
      <c r="M10" s="816"/>
      <c r="N10" s="816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846"/>
      <c r="W10" s="806" t="s">
        <v>708</v>
      </c>
      <c r="X10" s="693"/>
      <c r="Y10" s="804" t="s">
        <v>918</v>
      </c>
      <c r="Z10" s="805"/>
      <c r="AA10" s="805"/>
      <c r="AB10" s="805"/>
      <c r="AC10" s="805"/>
      <c r="AD10" s="805"/>
      <c r="AE10" s="805"/>
      <c r="AF10" s="805"/>
      <c r="AG10" s="805"/>
      <c r="AH10" s="805"/>
      <c r="AI10" s="795" t="s">
        <v>919</v>
      </c>
      <c r="AJ10" s="796"/>
      <c r="AK10" s="796"/>
      <c r="AL10" s="797"/>
      <c r="AP10" s="29"/>
    </row>
    <row r="11" spans="2:42" s="2" customFormat="1" ht="18" customHeight="1">
      <c r="B11" s="705"/>
      <c r="C11" s="843" t="s">
        <v>1182</v>
      </c>
      <c r="D11" s="844"/>
      <c r="E11" s="844"/>
      <c r="F11" s="844"/>
      <c r="G11" s="844"/>
      <c r="H11" s="844"/>
      <c r="I11" s="844"/>
      <c r="J11" s="844"/>
      <c r="K11" s="844"/>
      <c r="L11" s="780" t="s">
        <v>751</v>
      </c>
      <c r="M11" s="780"/>
      <c r="N11" s="780"/>
      <c r="O11" s="780">
        <f>'2 - Kit Request'!F10</f>
        <v>0</v>
      </c>
      <c r="P11" s="780"/>
      <c r="Q11" s="780"/>
      <c r="R11" s="780"/>
      <c r="S11" s="780"/>
      <c r="T11" s="780"/>
      <c r="U11" s="781"/>
      <c r="V11" s="846"/>
      <c r="W11" s="806" t="s">
        <v>709</v>
      </c>
      <c r="X11" s="693"/>
      <c r="Y11" s="807" t="str">
        <f>'2 - Kit Request'!C18</f>
        <v>Total NO3/NO2(SM21 4500NO3-F), Total P(SM4500)</v>
      </c>
      <c r="Z11" s="782" t="str">
        <f>'2 - Kit Request'!C19</f>
        <v>Total Metals (200.7)</v>
      </c>
      <c r="AA11" s="785"/>
      <c r="AB11" s="782">
        <f>'2 - Kit Request'!C21</f>
        <v>0</v>
      </c>
      <c r="AC11" s="785">
        <f>'2 - Kit Request'!C22</f>
        <v>0</v>
      </c>
      <c r="AD11" s="782">
        <f>'2 - Kit Request'!C23</f>
        <v>0</v>
      </c>
      <c r="AE11" s="785" t="str">
        <f>'2 - Kit Request'!C24</f>
        <v xml:space="preserve"> </v>
      </c>
      <c r="AF11" s="782">
        <f>'2 - Kit Request'!C25</f>
        <v>0</v>
      </c>
      <c r="AG11" s="785">
        <f>'2 - Kit Request'!C26</f>
        <v>0</v>
      </c>
      <c r="AH11" s="782">
        <f>'2 - Kit Request'!C27</f>
        <v>0</v>
      </c>
      <c r="AI11" s="798"/>
      <c r="AJ11" s="799"/>
      <c r="AK11" s="799"/>
      <c r="AL11" s="800"/>
      <c r="AP11" s="29"/>
    </row>
    <row r="12" spans="2:42" s="2" customFormat="1" ht="18" customHeight="1">
      <c r="B12" s="705"/>
      <c r="C12" s="600" t="s">
        <v>3</v>
      </c>
      <c r="D12" s="600"/>
      <c r="E12" s="600"/>
      <c r="F12" s="601"/>
      <c r="G12" s="848"/>
      <c r="H12" s="848"/>
      <c r="I12" s="848"/>
      <c r="J12" s="848"/>
      <c r="K12" s="848"/>
      <c r="L12" s="604" t="s">
        <v>4</v>
      </c>
      <c r="M12" s="600"/>
      <c r="N12" s="600"/>
      <c r="O12" s="814">
        <f>'2 - Kit Request'!C11</f>
        <v>0</v>
      </c>
      <c r="P12" s="814"/>
      <c r="Q12" s="814"/>
      <c r="R12" s="814"/>
      <c r="S12" s="814"/>
      <c r="T12" s="814"/>
      <c r="U12" s="815"/>
      <c r="V12" s="846"/>
      <c r="W12" s="806" t="s">
        <v>707</v>
      </c>
      <c r="X12" s="825"/>
      <c r="Y12" s="808"/>
      <c r="Z12" s="783"/>
      <c r="AA12" s="786"/>
      <c r="AB12" s="783"/>
      <c r="AC12" s="786"/>
      <c r="AD12" s="783"/>
      <c r="AE12" s="786"/>
      <c r="AF12" s="783"/>
      <c r="AG12" s="786"/>
      <c r="AH12" s="783"/>
      <c r="AI12" s="798"/>
      <c r="AJ12" s="799"/>
      <c r="AK12" s="799"/>
      <c r="AL12" s="800"/>
      <c r="AP12" s="29"/>
    </row>
    <row r="13" spans="2:42" s="2" customFormat="1" ht="18" customHeight="1" thickBot="1">
      <c r="B13" s="706"/>
      <c r="C13" s="817" t="str">
        <f>'2 - Kit Request'!C7</f>
        <v>Kenai Watershed Forum</v>
      </c>
      <c r="D13" s="818"/>
      <c r="E13" s="818"/>
      <c r="F13" s="818"/>
      <c r="G13" s="818"/>
      <c r="H13" s="818"/>
      <c r="I13" s="818"/>
      <c r="J13" s="818"/>
      <c r="K13" s="818"/>
      <c r="L13" s="605" t="s">
        <v>29</v>
      </c>
      <c r="M13" s="606"/>
      <c r="N13" s="839">
        <f>'2 - Kit Request'!F11</f>
        <v>0</v>
      </c>
      <c r="O13" s="839"/>
      <c r="P13" s="839"/>
      <c r="Q13" s="839"/>
      <c r="R13" s="839"/>
      <c r="S13" s="839"/>
      <c r="T13" s="839"/>
      <c r="U13" s="840"/>
      <c r="V13" s="846"/>
      <c r="W13" s="819" t="s">
        <v>710</v>
      </c>
      <c r="X13" s="820"/>
      <c r="Y13" s="808"/>
      <c r="Z13" s="783"/>
      <c r="AA13" s="786"/>
      <c r="AB13" s="783"/>
      <c r="AC13" s="786"/>
      <c r="AD13" s="783"/>
      <c r="AE13" s="786"/>
      <c r="AF13" s="783"/>
      <c r="AG13" s="786"/>
      <c r="AH13" s="783"/>
      <c r="AI13" s="798"/>
      <c r="AJ13" s="799"/>
      <c r="AK13" s="799"/>
      <c r="AL13" s="800"/>
      <c r="AP13" s="29"/>
    </row>
    <row r="14" spans="2:42" s="2" customFormat="1" ht="18" customHeight="1" thickBot="1">
      <c r="B14" s="707" t="s">
        <v>536</v>
      </c>
      <c r="C14" s="853" t="s">
        <v>34</v>
      </c>
      <c r="D14" s="854"/>
      <c r="E14" s="855"/>
      <c r="F14" s="829" t="s">
        <v>5</v>
      </c>
      <c r="G14" s="829"/>
      <c r="H14" s="829"/>
      <c r="I14" s="829"/>
      <c r="J14" s="829"/>
      <c r="K14" s="829"/>
      <c r="L14" s="830"/>
      <c r="M14" s="788" t="s">
        <v>56</v>
      </c>
      <c r="N14" s="789"/>
      <c r="O14" s="790"/>
      <c r="P14" s="788" t="s">
        <v>57</v>
      </c>
      <c r="Q14" s="789"/>
      <c r="R14" s="790"/>
      <c r="S14" s="789" t="s">
        <v>27</v>
      </c>
      <c r="T14" s="789"/>
      <c r="U14" s="790"/>
      <c r="V14" s="846"/>
      <c r="W14" s="819"/>
      <c r="X14" s="820"/>
      <c r="Y14" s="808"/>
      <c r="Z14" s="783"/>
      <c r="AA14" s="786"/>
      <c r="AB14" s="783"/>
      <c r="AC14" s="786"/>
      <c r="AD14" s="783"/>
      <c r="AE14" s="786"/>
      <c r="AF14" s="783"/>
      <c r="AG14" s="786"/>
      <c r="AH14" s="783"/>
      <c r="AI14" s="801"/>
      <c r="AJ14" s="802"/>
      <c r="AK14" s="802"/>
      <c r="AL14" s="803"/>
      <c r="AP14" s="29"/>
    </row>
    <row r="15" spans="2:42" s="6" customFormat="1" ht="15.75" customHeight="1" thickBot="1">
      <c r="B15" s="705"/>
      <c r="C15" s="856"/>
      <c r="D15" s="857"/>
      <c r="E15" s="858"/>
      <c r="F15" s="831"/>
      <c r="G15" s="831"/>
      <c r="H15" s="831"/>
      <c r="I15" s="831"/>
      <c r="J15" s="831"/>
      <c r="K15" s="831"/>
      <c r="L15" s="832"/>
      <c r="M15" s="791"/>
      <c r="N15" s="792"/>
      <c r="O15" s="793"/>
      <c r="P15" s="791"/>
      <c r="Q15" s="792"/>
      <c r="R15" s="793"/>
      <c r="S15" s="792"/>
      <c r="T15" s="792"/>
      <c r="U15" s="793"/>
      <c r="V15" s="847"/>
      <c r="W15" s="821"/>
      <c r="X15" s="822"/>
      <c r="Y15" s="809"/>
      <c r="Z15" s="784"/>
      <c r="AA15" s="787"/>
      <c r="AB15" s="784"/>
      <c r="AC15" s="787"/>
      <c r="AD15" s="784"/>
      <c r="AE15" s="787"/>
      <c r="AF15" s="784"/>
      <c r="AG15" s="787"/>
      <c r="AH15" s="784"/>
      <c r="AI15" s="758" t="s">
        <v>745</v>
      </c>
      <c r="AJ15" s="759"/>
      <c r="AK15" s="759"/>
      <c r="AL15" s="760"/>
    </row>
    <row r="16" spans="2:42" s="17" customFormat="1" ht="19.899999999999999" customHeight="1">
      <c r="B16" s="705"/>
      <c r="C16" s="827"/>
      <c r="D16" s="828"/>
      <c r="E16" s="828"/>
      <c r="F16" s="769" t="s">
        <v>1196</v>
      </c>
      <c r="G16" s="769"/>
      <c r="H16" s="769"/>
      <c r="I16" s="769"/>
      <c r="J16" s="769"/>
      <c r="K16" s="769"/>
      <c r="L16" s="769"/>
      <c r="M16" s="768">
        <v>44768</v>
      </c>
      <c r="N16" s="764"/>
      <c r="O16" s="764"/>
      <c r="P16" s="764"/>
      <c r="Q16" s="764"/>
      <c r="R16" s="764"/>
      <c r="S16" s="763" t="s">
        <v>89</v>
      </c>
      <c r="T16" s="763"/>
      <c r="U16" s="763"/>
      <c r="V16" s="576">
        <v>2</v>
      </c>
      <c r="W16" s="849"/>
      <c r="X16" s="850"/>
      <c r="Y16" s="575" t="s">
        <v>1191</v>
      </c>
      <c r="Z16" s="574" t="s">
        <v>1191</v>
      </c>
      <c r="AA16" s="574"/>
      <c r="AB16" s="145"/>
      <c r="AC16" s="145"/>
      <c r="AD16" s="145"/>
      <c r="AE16" s="145"/>
      <c r="AF16" s="145"/>
      <c r="AG16" s="145"/>
      <c r="AH16" s="146"/>
      <c r="AI16" s="761"/>
      <c r="AJ16" s="761"/>
      <c r="AK16" s="761"/>
      <c r="AL16" s="762"/>
    </row>
    <row r="17" spans="2:38" s="17" customFormat="1" ht="19.899999999999999" customHeight="1">
      <c r="B17" s="705"/>
      <c r="C17" s="827"/>
      <c r="D17" s="828"/>
      <c r="E17" s="828"/>
      <c r="F17" s="769" t="s">
        <v>1197</v>
      </c>
      <c r="G17" s="769"/>
      <c r="H17" s="769"/>
      <c r="I17" s="769"/>
      <c r="J17" s="769"/>
      <c r="K17" s="769"/>
      <c r="L17" s="769"/>
      <c r="M17" s="768">
        <v>44768</v>
      </c>
      <c r="N17" s="764"/>
      <c r="O17" s="764"/>
      <c r="P17" s="764"/>
      <c r="Q17" s="764"/>
      <c r="R17" s="764"/>
      <c r="S17" s="763" t="s">
        <v>89</v>
      </c>
      <c r="T17" s="763"/>
      <c r="U17" s="763"/>
      <c r="V17" s="576">
        <v>2</v>
      </c>
      <c r="W17" s="764"/>
      <c r="X17" s="765"/>
      <c r="Y17" s="575" t="s">
        <v>1191</v>
      </c>
      <c r="Z17" s="612" t="s">
        <v>1191</v>
      </c>
      <c r="AA17" s="612"/>
      <c r="AB17" s="147"/>
      <c r="AC17" s="147"/>
      <c r="AD17" s="147"/>
      <c r="AE17" s="147"/>
      <c r="AF17" s="147"/>
      <c r="AG17" s="147"/>
      <c r="AH17" s="148"/>
      <c r="AI17" s="761"/>
      <c r="AJ17" s="761"/>
      <c r="AK17" s="761"/>
      <c r="AL17" s="762"/>
    </row>
    <row r="18" spans="2:38" s="6" customFormat="1" ht="19.899999999999999" customHeight="1">
      <c r="B18" s="705"/>
      <c r="C18" s="827"/>
      <c r="D18" s="828"/>
      <c r="E18" s="828"/>
      <c r="F18" s="769" t="s">
        <v>1198</v>
      </c>
      <c r="G18" s="769"/>
      <c r="H18" s="769"/>
      <c r="I18" s="769"/>
      <c r="J18" s="769"/>
      <c r="K18" s="769"/>
      <c r="L18" s="769"/>
      <c r="M18" s="768">
        <v>44768</v>
      </c>
      <c r="N18" s="764"/>
      <c r="O18" s="764"/>
      <c r="P18" s="764"/>
      <c r="Q18" s="764"/>
      <c r="R18" s="764"/>
      <c r="S18" s="763" t="s">
        <v>89</v>
      </c>
      <c r="T18" s="763"/>
      <c r="U18" s="763"/>
      <c r="V18" s="611">
        <v>2</v>
      </c>
      <c r="W18" s="764"/>
      <c r="X18" s="765"/>
      <c r="Y18" s="575" t="s">
        <v>1191</v>
      </c>
      <c r="Z18" s="612" t="s">
        <v>1191</v>
      </c>
      <c r="AA18" s="612"/>
      <c r="AB18" s="147"/>
      <c r="AC18" s="147"/>
      <c r="AD18" s="147"/>
      <c r="AE18" s="147"/>
      <c r="AF18" s="147"/>
      <c r="AG18" s="147"/>
      <c r="AH18" s="148"/>
      <c r="AI18" s="761"/>
      <c r="AJ18" s="761"/>
      <c r="AK18" s="761"/>
      <c r="AL18" s="762"/>
    </row>
    <row r="19" spans="2:38" s="6" customFormat="1" ht="19.899999999999999" customHeight="1">
      <c r="B19" s="705"/>
      <c r="C19" s="827"/>
      <c r="D19" s="828"/>
      <c r="E19" s="828"/>
      <c r="F19" s="769" t="s">
        <v>1199</v>
      </c>
      <c r="G19" s="769"/>
      <c r="H19" s="769"/>
      <c r="I19" s="769"/>
      <c r="J19" s="769"/>
      <c r="K19" s="769"/>
      <c r="L19" s="769"/>
      <c r="M19" s="768">
        <v>44768</v>
      </c>
      <c r="N19" s="764"/>
      <c r="O19" s="764"/>
      <c r="P19" s="764"/>
      <c r="Q19" s="764"/>
      <c r="R19" s="764"/>
      <c r="S19" s="763" t="s">
        <v>89</v>
      </c>
      <c r="T19" s="763"/>
      <c r="U19" s="763"/>
      <c r="V19" s="611">
        <v>2</v>
      </c>
      <c r="W19" s="764"/>
      <c r="X19" s="765"/>
      <c r="Y19" s="575" t="s">
        <v>1191</v>
      </c>
      <c r="Z19" s="612" t="s">
        <v>1191</v>
      </c>
      <c r="AA19" s="612"/>
      <c r="AB19" s="147"/>
      <c r="AC19" s="147"/>
      <c r="AD19" s="147"/>
      <c r="AE19" s="147"/>
      <c r="AF19" s="147"/>
      <c r="AG19" s="147"/>
      <c r="AH19" s="148"/>
      <c r="AI19" s="761"/>
      <c r="AJ19" s="761"/>
      <c r="AK19" s="761"/>
      <c r="AL19" s="762"/>
    </row>
    <row r="20" spans="2:38" s="6" customFormat="1" ht="19.899999999999999" customHeight="1">
      <c r="B20" s="705"/>
      <c r="C20" s="827"/>
      <c r="D20" s="828"/>
      <c r="E20" s="828"/>
      <c r="F20" s="769"/>
      <c r="G20" s="769"/>
      <c r="H20" s="769"/>
      <c r="I20" s="769"/>
      <c r="J20" s="769"/>
      <c r="K20" s="769"/>
      <c r="L20" s="769"/>
      <c r="M20" s="768"/>
      <c r="N20" s="764"/>
      <c r="O20" s="764"/>
      <c r="P20" s="764"/>
      <c r="Q20" s="764"/>
      <c r="R20" s="764"/>
      <c r="S20" s="763"/>
      <c r="T20" s="763"/>
      <c r="U20" s="763"/>
      <c r="V20" s="611"/>
      <c r="W20" s="764"/>
      <c r="X20" s="765"/>
      <c r="Y20" s="575"/>
      <c r="Z20" s="612"/>
      <c r="AA20" s="612"/>
      <c r="AB20" s="147"/>
      <c r="AC20" s="147"/>
      <c r="AD20" s="147"/>
      <c r="AE20" s="147"/>
      <c r="AF20" s="147"/>
      <c r="AG20" s="147"/>
      <c r="AH20" s="148"/>
      <c r="AI20" s="761"/>
      <c r="AJ20" s="761"/>
      <c r="AK20" s="761"/>
      <c r="AL20" s="762"/>
    </row>
    <row r="21" spans="2:38" s="6" customFormat="1" ht="19.899999999999999" customHeight="1">
      <c r="B21" s="705"/>
      <c r="C21" s="827"/>
      <c r="D21" s="828"/>
      <c r="E21" s="828"/>
      <c r="F21" s="769"/>
      <c r="G21" s="769"/>
      <c r="H21" s="769"/>
      <c r="I21" s="769"/>
      <c r="J21" s="769"/>
      <c r="K21" s="769"/>
      <c r="L21" s="769"/>
      <c r="M21" s="768"/>
      <c r="N21" s="764"/>
      <c r="O21" s="764"/>
      <c r="P21" s="764"/>
      <c r="Q21" s="764"/>
      <c r="R21" s="764"/>
      <c r="S21" s="763"/>
      <c r="T21" s="763"/>
      <c r="U21" s="763"/>
      <c r="V21" s="611"/>
      <c r="W21" s="764"/>
      <c r="X21" s="765"/>
      <c r="Y21" s="575"/>
      <c r="Z21" s="612"/>
      <c r="AA21" s="612"/>
      <c r="AB21" s="147"/>
      <c r="AC21" s="147"/>
      <c r="AD21" s="147"/>
      <c r="AE21" s="147"/>
      <c r="AF21" s="147"/>
      <c r="AG21" s="147"/>
      <c r="AH21" s="148"/>
      <c r="AI21" s="761"/>
      <c r="AJ21" s="761"/>
      <c r="AK21" s="761"/>
      <c r="AL21" s="762"/>
    </row>
    <row r="22" spans="2:38" s="6" customFormat="1" ht="19.899999999999999" customHeight="1">
      <c r="B22" s="705"/>
      <c r="C22" s="827"/>
      <c r="D22" s="828"/>
      <c r="E22" s="828"/>
      <c r="F22" s="769"/>
      <c r="G22" s="769"/>
      <c r="H22" s="769"/>
      <c r="I22" s="769"/>
      <c r="J22" s="769"/>
      <c r="K22" s="769"/>
      <c r="L22" s="769"/>
      <c r="M22" s="768"/>
      <c r="N22" s="764"/>
      <c r="O22" s="764"/>
      <c r="P22" s="764"/>
      <c r="Q22" s="764"/>
      <c r="R22" s="764"/>
      <c r="S22" s="763"/>
      <c r="T22" s="763"/>
      <c r="U22" s="763"/>
      <c r="V22" s="611"/>
      <c r="W22" s="764"/>
      <c r="X22" s="765"/>
      <c r="Y22" s="575"/>
      <c r="Z22" s="612"/>
      <c r="AA22" s="612"/>
      <c r="AB22" s="147"/>
      <c r="AC22" s="147"/>
      <c r="AD22" s="147"/>
      <c r="AE22" s="147"/>
      <c r="AF22" s="147"/>
      <c r="AG22" s="147"/>
      <c r="AH22" s="148"/>
      <c r="AI22" s="761"/>
      <c r="AJ22" s="761"/>
      <c r="AK22" s="761"/>
      <c r="AL22" s="762"/>
    </row>
    <row r="23" spans="2:38" s="6" customFormat="1" ht="19.899999999999999" customHeight="1">
      <c r="B23" s="705"/>
      <c r="C23" s="827"/>
      <c r="D23" s="828"/>
      <c r="E23" s="828"/>
      <c r="F23" s="769"/>
      <c r="G23" s="769"/>
      <c r="H23" s="769"/>
      <c r="I23" s="769"/>
      <c r="J23" s="769"/>
      <c r="K23" s="769"/>
      <c r="L23" s="769"/>
      <c r="M23" s="768"/>
      <c r="N23" s="764"/>
      <c r="O23" s="764"/>
      <c r="P23" s="764"/>
      <c r="Q23" s="764"/>
      <c r="R23" s="764"/>
      <c r="S23" s="763"/>
      <c r="T23" s="763"/>
      <c r="U23" s="763"/>
      <c r="V23" s="611"/>
      <c r="W23" s="764"/>
      <c r="X23" s="765"/>
      <c r="Y23" s="575"/>
      <c r="Z23" s="612"/>
      <c r="AA23" s="612"/>
      <c r="AB23" s="147"/>
      <c r="AC23" s="147"/>
      <c r="AD23" s="147"/>
      <c r="AE23" s="147"/>
      <c r="AF23" s="147"/>
      <c r="AG23" s="147"/>
      <c r="AH23" s="148"/>
      <c r="AI23" s="761"/>
      <c r="AJ23" s="761"/>
      <c r="AK23" s="761"/>
      <c r="AL23" s="762"/>
    </row>
    <row r="24" spans="2:38" s="6" customFormat="1" ht="19.899999999999999" customHeight="1">
      <c r="B24" s="705"/>
      <c r="C24" s="827"/>
      <c r="D24" s="828"/>
      <c r="E24" s="828"/>
      <c r="F24" s="769"/>
      <c r="G24" s="769"/>
      <c r="H24" s="769"/>
      <c r="I24" s="769"/>
      <c r="J24" s="769"/>
      <c r="K24" s="769"/>
      <c r="L24" s="769"/>
      <c r="M24" s="768"/>
      <c r="N24" s="764"/>
      <c r="O24" s="764"/>
      <c r="P24" s="764"/>
      <c r="Q24" s="764"/>
      <c r="R24" s="764"/>
      <c r="S24" s="763"/>
      <c r="T24" s="763"/>
      <c r="U24" s="763"/>
      <c r="V24" s="611"/>
      <c r="W24" s="764"/>
      <c r="X24" s="765"/>
      <c r="Y24" s="575"/>
      <c r="Z24" s="612"/>
      <c r="AA24" s="612"/>
      <c r="AB24" s="147"/>
      <c r="AC24" s="147"/>
      <c r="AD24" s="147"/>
      <c r="AE24" s="147"/>
      <c r="AF24" s="147"/>
      <c r="AG24" s="147"/>
      <c r="AH24" s="148"/>
      <c r="AI24" s="761"/>
      <c r="AJ24" s="761"/>
      <c r="AK24" s="761"/>
      <c r="AL24" s="762"/>
    </row>
    <row r="25" spans="2:38" s="6" customFormat="1" ht="19.899999999999999" customHeight="1" thickBot="1">
      <c r="B25" s="706"/>
      <c r="C25" s="851"/>
      <c r="D25" s="852"/>
      <c r="E25" s="852"/>
      <c r="F25" s="859"/>
      <c r="G25" s="859"/>
      <c r="H25" s="859"/>
      <c r="I25" s="859"/>
      <c r="J25" s="859"/>
      <c r="K25" s="859"/>
      <c r="L25" s="859"/>
      <c r="M25" s="768"/>
      <c r="N25" s="764"/>
      <c r="O25" s="764"/>
      <c r="P25" s="756"/>
      <c r="Q25" s="756"/>
      <c r="R25" s="756"/>
      <c r="S25" s="763"/>
      <c r="T25" s="763"/>
      <c r="U25" s="763"/>
      <c r="V25" s="611"/>
      <c r="W25" s="756"/>
      <c r="X25" s="757"/>
      <c r="Y25" s="575"/>
      <c r="Z25" s="612"/>
      <c r="AA25" s="612"/>
      <c r="AB25" s="149"/>
      <c r="AC25" s="149"/>
      <c r="AD25" s="149"/>
      <c r="AE25" s="149"/>
      <c r="AF25" s="149"/>
      <c r="AG25" s="149"/>
      <c r="AH25" s="150"/>
      <c r="AI25" s="766"/>
      <c r="AJ25" s="766"/>
      <c r="AK25" s="766"/>
      <c r="AL25" s="767"/>
    </row>
    <row r="26" spans="2:38" s="10" customFormat="1" ht="21.75" customHeight="1">
      <c r="B26" s="705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719" t="s">
        <v>539</v>
      </c>
      <c r="AB26" s="720"/>
      <c r="AC26" s="717" t="s">
        <v>920</v>
      </c>
      <c r="AD26" s="717"/>
      <c r="AE26" s="717"/>
      <c r="AF26" s="755"/>
      <c r="AG26" s="716" t="s">
        <v>45</v>
      </c>
      <c r="AH26" s="717"/>
      <c r="AI26" s="717"/>
      <c r="AJ26" s="717"/>
      <c r="AK26" s="717"/>
      <c r="AL26" s="718"/>
    </row>
    <row r="27" spans="2:38" s="8" customFormat="1" ht="15" customHeight="1">
      <c r="B27" s="70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702">
        <v>44768</v>
      </c>
      <c r="N27" s="703"/>
      <c r="O27" s="704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721" t="s">
        <v>540</v>
      </c>
      <c r="AB27" s="722"/>
      <c r="AC27" s="722"/>
      <c r="AD27" s="722"/>
      <c r="AE27" s="722"/>
      <c r="AF27" s="723"/>
      <c r="AG27" s="748" t="s">
        <v>1194</v>
      </c>
      <c r="AH27" s="749"/>
      <c r="AI27" s="749"/>
      <c r="AJ27" s="749"/>
      <c r="AK27" s="749"/>
      <c r="AL27" s="750"/>
    </row>
    <row r="28" spans="2:38" s="8" customFormat="1" ht="15" customHeight="1">
      <c r="B28" s="70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724"/>
      <c r="AB28" s="725"/>
      <c r="AC28" s="725"/>
      <c r="AD28" s="725"/>
      <c r="AE28" s="725"/>
      <c r="AF28" s="726"/>
      <c r="AG28" s="751"/>
      <c r="AH28" s="752"/>
      <c r="AI28" s="752"/>
      <c r="AJ28" s="752"/>
      <c r="AK28" s="752"/>
      <c r="AL28" s="753"/>
    </row>
    <row r="29" spans="2:38" s="8" customFormat="1" ht="15" customHeight="1">
      <c r="B29" s="705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1575" t="s">
        <v>1201</v>
      </c>
      <c r="AB30" s="1576"/>
      <c r="AC30" s="1576"/>
      <c r="AD30" s="1576"/>
      <c r="AE30" s="1576"/>
      <c r="AF30" s="1576"/>
      <c r="AG30" s="1576"/>
      <c r="AH30" s="1576"/>
      <c r="AI30" s="1576"/>
      <c r="AJ30" s="1576"/>
      <c r="AK30" s="1576"/>
      <c r="AL30" s="1577"/>
    </row>
    <row r="31" spans="2:38" s="8" customFormat="1" ht="15" customHeight="1">
      <c r="B31" s="705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1575"/>
      <c r="AB31" s="1576"/>
      <c r="AC31" s="1576"/>
      <c r="AD31" s="1576"/>
      <c r="AE31" s="1576"/>
      <c r="AF31" s="1576"/>
      <c r="AG31" s="1576"/>
      <c r="AH31" s="1576"/>
      <c r="AI31" s="1576"/>
      <c r="AJ31" s="1576"/>
      <c r="AK31" s="1576"/>
      <c r="AL31" s="1577"/>
    </row>
    <row r="32" spans="2:38" s="8" customFormat="1" ht="15" customHeight="1" thickBot="1">
      <c r="B32" s="705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1578"/>
      <c r="AB32" s="1579"/>
      <c r="AC32" s="1579"/>
      <c r="AD32" s="1579"/>
      <c r="AE32" s="1579"/>
      <c r="AF32" s="1579"/>
      <c r="AG32" s="1579"/>
      <c r="AH32" s="1579"/>
      <c r="AI32" s="1579"/>
      <c r="AJ32" s="1579"/>
      <c r="AK32" s="1579"/>
      <c r="AL32" s="1580"/>
    </row>
    <row r="33" spans="2:39" s="8" customFormat="1" ht="15" customHeight="1">
      <c r="B33" s="70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742" t="s">
        <v>44</v>
      </c>
      <c r="AB33" s="743"/>
      <c r="AC33" s="743"/>
      <c r="AD33" s="743"/>
      <c r="AE33" s="743"/>
      <c r="AF33" s="744"/>
      <c r="AG33" s="727" t="s">
        <v>13</v>
      </c>
      <c r="AH33" s="728"/>
      <c r="AI33" s="728"/>
      <c r="AJ33" s="728"/>
      <c r="AK33" s="728"/>
      <c r="AL33" s="729"/>
    </row>
    <row r="34" spans="2:39" s="8" customFormat="1" ht="15" customHeight="1">
      <c r="B34" s="705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745"/>
      <c r="AB34" s="746"/>
      <c r="AC34" s="746"/>
      <c r="AD34" s="746"/>
      <c r="AE34" s="746"/>
      <c r="AF34" s="747"/>
      <c r="AG34" s="730"/>
      <c r="AH34" s="731"/>
      <c r="AI34" s="731"/>
      <c r="AJ34" s="731"/>
      <c r="AK34" s="731"/>
      <c r="AL34" s="732"/>
      <c r="AM34" s="18"/>
    </row>
    <row r="35" spans="2:39" s="8" customFormat="1" ht="15" customHeight="1">
      <c r="B35" s="705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733" t="s">
        <v>43</v>
      </c>
      <c r="AB35" s="734"/>
      <c r="AC35" s="734"/>
      <c r="AD35" s="734"/>
      <c r="AE35" s="734"/>
      <c r="AF35" s="735"/>
      <c r="AG35" s="730" t="s">
        <v>47</v>
      </c>
      <c r="AH35" s="731"/>
      <c r="AI35" s="731"/>
      <c r="AJ35" s="731"/>
      <c r="AK35" s="731"/>
      <c r="AL35" s="732"/>
      <c r="AM35" s="18"/>
    </row>
    <row r="36" spans="2:39" s="8" customFormat="1" ht="15" customHeight="1" thickBot="1">
      <c r="B36" s="70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736"/>
      <c r="AB36" s="737"/>
      <c r="AC36" s="737"/>
      <c r="AD36" s="737"/>
      <c r="AE36" s="737"/>
      <c r="AF36" s="738"/>
      <c r="AG36" s="739"/>
      <c r="AH36" s="740"/>
      <c r="AI36" s="740"/>
      <c r="AJ36" s="740"/>
      <c r="AK36" s="740"/>
      <c r="AL36" s="741"/>
      <c r="AM36" s="18"/>
    </row>
    <row r="37" spans="2:39" s="8" customFormat="1" ht="15" customHeight="1" thickBot="1">
      <c r="B37" s="706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834" t="s">
        <v>746</v>
      </c>
      <c r="AB37" s="835"/>
      <c r="AC37" s="835"/>
      <c r="AD37" s="835"/>
      <c r="AE37" s="835"/>
      <c r="AF37" s="835"/>
      <c r="AG37" s="835"/>
      <c r="AH37" s="835"/>
      <c r="AI37" s="835"/>
      <c r="AJ37" s="835"/>
      <c r="AK37" s="835"/>
      <c r="AL37" s="836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833" t="s">
        <v>533</v>
      </c>
      <c r="AB39" s="833"/>
      <c r="AC39" s="833"/>
      <c r="AD39" s="833"/>
      <c r="AE39" s="833"/>
      <c r="AF39" s="833"/>
      <c r="AG39" s="833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M20:O20"/>
    <mergeCell ref="S24:U24"/>
    <mergeCell ref="S23:U23"/>
    <mergeCell ref="W24:X24"/>
    <mergeCell ref="P25:R25"/>
    <mergeCell ref="F25:L25"/>
    <mergeCell ref="M25:O25"/>
    <mergeCell ref="F23:L23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G10:K10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0" t="s">
        <v>15</v>
      </c>
      <c r="AG1" s="770"/>
      <c r="AH1" s="770"/>
      <c r="AI1" s="770"/>
      <c r="AJ1" s="905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6" t="s">
        <v>66</v>
      </c>
      <c r="Q4" s="906"/>
      <c r="R4" s="906"/>
      <c r="S4" s="906"/>
      <c r="T4" s="906"/>
      <c r="U4" s="906"/>
      <c r="V4" s="906"/>
      <c r="W4" s="906"/>
      <c r="X4" s="906"/>
      <c r="Y4" s="906"/>
      <c r="Z4" s="906"/>
      <c r="AA4" s="906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884" t="s">
        <v>0</v>
      </c>
      <c r="D7" s="885"/>
      <c r="E7" s="885"/>
      <c r="F7" s="886"/>
      <c r="G7" s="886"/>
      <c r="H7" s="886"/>
      <c r="I7" s="886"/>
      <c r="J7" s="886"/>
      <c r="K7" s="886"/>
      <c r="L7" s="886"/>
      <c r="M7" s="886"/>
      <c r="N7" s="886"/>
      <c r="O7" s="886"/>
      <c r="P7" s="886"/>
      <c r="Q7" s="886"/>
      <c r="R7" s="886"/>
      <c r="S7" s="886"/>
      <c r="T7" s="886"/>
      <c r="U7" s="887"/>
      <c r="V7" s="881" t="s">
        <v>544</v>
      </c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3"/>
      <c r="AI7" s="860" t="s">
        <v>48</v>
      </c>
      <c r="AJ7" s="861"/>
      <c r="AK7" s="861"/>
      <c r="AL7" s="862"/>
    </row>
    <row r="8" spans="2:42" s="2" customFormat="1" ht="34.9" customHeight="1" thickBot="1">
      <c r="B8" s="705"/>
      <c r="C8" s="33" t="s">
        <v>1</v>
      </c>
      <c r="D8" s="33"/>
      <c r="E8" s="33"/>
      <c r="F8" s="888"/>
      <c r="G8" s="888"/>
      <c r="H8" s="888"/>
      <c r="I8" s="888"/>
      <c r="J8" s="888"/>
      <c r="K8" s="888"/>
      <c r="L8" s="5" t="s">
        <v>20</v>
      </c>
      <c r="M8" s="33"/>
      <c r="N8" s="33"/>
      <c r="O8" s="909"/>
      <c r="P8" s="909"/>
      <c r="Q8" s="909"/>
      <c r="R8" s="909"/>
      <c r="S8" s="909"/>
      <c r="T8" s="909"/>
      <c r="U8" s="910"/>
      <c r="V8" s="911" t="s">
        <v>537</v>
      </c>
      <c r="W8" s="912"/>
      <c r="X8" s="913"/>
      <c r="Y8" s="107"/>
      <c r="Z8" s="889" t="s">
        <v>85</v>
      </c>
      <c r="AA8" s="889"/>
      <c r="AB8" s="889"/>
      <c r="AC8" s="889"/>
      <c r="AD8" s="889"/>
      <c r="AE8" s="889"/>
      <c r="AF8" s="889"/>
      <c r="AG8" s="889"/>
      <c r="AH8" s="107"/>
      <c r="AI8" s="863"/>
      <c r="AJ8" s="863"/>
      <c r="AK8" s="863"/>
      <c r="AL8" s="864"/>
    </row>
    <row r="9" spans="2:42" s="2" customFormat="1" ht="40.15" customHeight="1">
      <c r="B9" s="705"/>
      <c r="C9" s="898" t="s">
        <v>37</v>
      </c>
      <c r="D9" s="899"/>
      <c r="E9" s="899"/>
      <c r="F9" s="888"/>
      <c r="G9" s="888"/>
      <c r="H9" s="888"/>
      <c r="I9" s="888"/>
      <c r="J9" s="888"/>
      <c r="K9" s="888"/>
      <c r="L9" s="914" t="s">
        <v>38</v>
      </c>
      <c r="M9" s="914"/>
      <c r="N9" s="914"/>
      <c r="O9" s="907"/>
      <c r="P9" s="907"/>
      <c r="Q9" s="907"/>
      <c r="R9" s="907"/>
      <c r="S9" s="907"/>
      <c r="T9" s="907"/>
      <c r="U9" s="908"/>
      <c r="V9" s="915" t="s">
        <v>62</v>
      </c>
      <c r="W9" s="921"/>
      <c r="X9" s="922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5"/>
      <c r="C10" s="34" t="s">
        <v>2</v>
      </c>
      <c r="D10" s="34"/>
      <c r="E10" s="34"/>
      <c r="F10" s="9"/>
      <c r="G10" s="918"/>
      <c r="H10" s="918"/>
      <c r="I10" s="918"/>
      <c r="J10" s="918"/>
      <c r="K10" s="918"/>
      <c r="L10" s="34" t="s">
        <v>28</v>
      </c>
      <c r="M10" s="34"/>
      <c r="N10" s="918"/>
      <c r="O10" s="918"/>
      <c r="P10" s="918"/>
      <c r="Q10" s="918"/>
      <c r="R10" s="918"/>
      <c r="S10" s="918"/>
      <c r="T10" s="918"/>
      <c r="U10" s="923"/>
      <c r="V10" s="916"/>
      <c r="W10" s="925" t="s">
        <v>538</v>
      </c>
      <c r="X10" s="926"/>
      <c r="Y10" s="892" t="s">
        <v>49</v>
      </c>
      <c r="Z10" s="869" t="s">
        <v>64</v>
      </c>
      <c r="AA10" s="869" t="s">
        <v>50</v>
      </c>
      <c r="AB10" s="869" t="s">
        <v>63</v>
      </c>
      <c r="AC10" s="869" t="s">
        <v>52</v>
      </c>
      <c r="AD10" s="869" t="s">
        <v>51</v>
      </c>
      <c r="AE10" s="869"/>
      <c r="AF10" s="869"/>
      <c r="AG10" s="869"/>
      <c r="AH10" s="872"/>
      <c r="AI10" s="17"/>
      <c r="AJ10" s="17"/>
      <c r="AK10" s="17"/>
      <c r="AL10" s="82"/>
      <c r="AP10" s="29"/>
    </row>
    <row r="11" spans="2:42" s="2" customFormat="1" ht="18" customHeight="1">
      <c r="B11" s="705"/>
      <c r="C11" s="895"/>
      <c r="D11" s="831"/>
      <c r="E11" s="831"/>
      <c r="F11" s="831"/>
      <c r="G11" s="831"/>
      <c r="H11" s="831"/>
      <c r="I11" s="831"/>
      <c r="J11" s="831"/>
      <c r="K11" s="831"/>
      <c r="L11" s="919"/>
      <c r="M11" s="919"/>
      <c r="N11" s="919"/>
      <c r="O11" s="919"/>
      <c r="P11" s="919"/>
      <c r="Q11" s="919"/>
      <c r="R11" s="919"/>
      <c r="S11" s="919"/>
      <c r="T11" s="919"/>
      <c r="U11" s="920"/>
      <c r="V11" s="916"/>
      <c r="W11" s="865" t="s">
        <v>22</v>
      </c>
      <c r="X11" s="866"/>
      <c r="Y11" s="893"/>
      <c r="Z11" s="870"/>
      <c r="AA11" s="870"/>
      <c r="AB11" s="870"/>
      <c r="AC11" s="870"/>
      <c r="AD11" s="870"/>
      <c r="AE11" s="870"/>
      <c r="AF11" s="870"/>
      <c r="AG11" s="870"/>
      <c r="AH11" s="873"/>
      <c r="AI11" s="17"/>
      <c r="AJ11" s="17"/>
      <c r="AK11" s="17"/>
      <c r="AL11" s="8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18"/>
      <c r="H12" s="918"/>
      <c r="I12" s="918"/>
      <c r="J12" s="918"/>
      <c r="K12" s="918"/>
      <c r="L12" s="34" t="s">
        <v>4</v>
      </c>
      <c r="M12" s="34"/>
      <c r="N12" s="34"/>
      <c r="O12" s="918"/>
      <c r="P12" s="918"/>
      <c r="Q12" s="918"/>
      <c r="R12" s="918"/>
      <c r="S12" s="918"/>
      <c r="T12" s="918"/>
      <c r="U12" s="923"/>
      <c r="V12" s="916"/>
      <c r="W12" s="865" t="s">
        <v>23</v>
      </c>
      <c r="X12" s="866"/>
      <c r="Y12" s="893"/>
      <c r="Z12" s="870"/>
      <c r="AA12" s="870"/>
      <c r="AB12" s="870"/>
      <c r="AC12" s="870"/>
      <c r="AD12" s="870"/>
      <c r="AE12" s="870"/>
      <c r="AF12" s="870"/>
      <c r="AG12" s="870"/>
      <c r="AH12" s="873"/>
      <c r="AI12" s="17"/>
      <c r="AJ12" s="17"/>
      <c r="AK12" s="17"/>
      <c r="AL12" s="82"/>
      <c r="AP12" s="29"/>
    </row>
    <row r="13" spans="2:42" s="2" customFormat="1" ht="18" customHeight="1" thickBot="1">
      <c r="B13" s="706"/>
      <c r="C13" s="924"/>
      <c r="D13" s="754"/>
      <c r="E13" s="754"/>
      <c r="F13" s="754"/>
      <c r="G13" s="754"/>
      <c r="H13" s="754"/>
      <c r="I13" s="754"/>
      <c r="J13" s="754"/>
      <c r="K13" s="754"/>
      <c r="L13" s="63" t="s">
        <v>29</v>
      </c>
      <c r="M13" s="63"/>
      <c r="N13" s="896"/>
      <c r="O13" s="896"/>
      <c r="P13" s="896"/>
      <c r="Q13" s="896"/>
      <c r="R13" s="896"/>
      <c r="S13" s="896"/>
      <c r="T13" s="896"/>
      <c r="U13" s="897"/>
      <c r="V13" s="916"/>
      <c r="W13" s="877"/>
      <c r="X13" s="878"/>
      <c r="Y13" s="893"/>
      <c r="Z13" s="870"/>
      <c r="AA13" s="870"/>
      <c r="AB13" s="870"/>
      <c r="AC13" s="870"/>
      <c r="AD13" s="870"/>
      <c r="AE13" s="870"/>
      <c r="AF13" s="870"/>
      <c r="AG13" s="870"/>
      <c r="AH13" s="873"/>
      <c r="AI13" s="17"/>
      <c r="AJ13" s="17"/>
      <c r="AK13" s="17"/>
      <c r="AL13" s="82"/>
      <c r="AP13" s="29"/>
    </row>
    <row r="14" spans="2:42" s="6" customFormat="1" ht="40.15" customHeight="1">
      <c r="B14" s="707" t="s">
        <v>536</v>
      </c>
      <c r="C14" s="902" t="s">
        <v>34</v>
      </c>
      <c r="D14" s="903"/>
      <c r="E14" s="903"/>
      <c r="F14" s="868" t="s">
        <v>5</v>
      </c>
      <c r="G14" s="868"/>
      <c r="H14" s="868"/>
      <c r="I14" s="868"/>
      <c r="J14" s="868"/>
      <c r="K14" s="868"/>
      <c r="L14" s="868"/>
      <c r="M14" s="867" t="s">
        <v>61</v>
      </c>
      <c r="N14" s="868"/>
      <c r="O14" s="868"/>
      <c r="P14" s="867" t="s">
        <v>57</v>
      </c>
      <c r="Q14" s="868"/>
      <c r="R14" s="868"/>
      <c r="S14" s="791" t="s">
        <v>27</v>
      </c>
      <c r="T14" s="792"/>
      <c r="U14" s="793"/>
      <c r="V14" s="917"/>
      <c r="W14" s="879"/>
      <c r="X14" s="880"/>
      <c r="Y14" s="894"/>
      <c r="Z14" s="871"/>
      <c r="AA14" s="871"/>
      <c r="AB14" s="871"/>
      <c r="AC14" s="871"/>
      <c r="AD14" s="871"/>
      <c r="AE14" s="871"/>
      <c r="AF14" s="871"/>
      <c r="AG14" s="871"/>
      <c r="AH14" s="874"/>
      <c r="AI14" s="758" t="s">
        <v>40</v>
      </c>
      <c r="AJ14" s="759"/>
      <c r="AK14" s="759"/>
      <c r="AL14" s="760"/>
    </row>
    <row r="15" spans="2:42" s="17" customFormat="1" ht="19.899999999999999" customHeight="1">
      <c r="B15" s="705"/>
      <c r="C15" s="900"/>
      <c r="D15" s="901"/>
      <c r="E15" s="901"/>
      <c r="F15" s="904"/>
      <c r="G15" s="904"/>
      <c r="H15" s="904"/>
      <c r="I15" s="904"/>
      <c r="J15" s="904"/>
      <c r="K15" s="904"/>
      <c r="L15" s="904"/>
      <c r="M15" s="875"/>
      <c r="N15" s="875"/>
      <c r="O15" s="875"/>
      <c r="P15" s="875"/>
      <c r="Q15" s="875"/>
      <c r="R15" s="875"/>
      <c r="S15" s="875" t="s">
        <v>65</v>
      </c>
      <c r="T15" s="875"/>
      <c r="U15" s="875"/>
      <c r="V15" s="16"/>
      <c r="W15" s="875"/>
      <c r="X15" s="876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1"/>
      <c r="AJ15" s="761"/>
      <c r="AK15" s="761"/>
      <c r="AL15" s="762"/>
    </row>
    <row r="16" spans="2:42" s="17" customFormat="1" ht="19.899999999999999" customHeight="1">
      <c r="B16" s="705"/>
      <c r="C16" s="900"/>
      <c r="D16" s="901"/>
      <c r="E16" s="901"/>
      <c r="F16" s="927"/>
      <c r="G16" s="928"/>
      <c r="H16" s="928"/>
      <c r="I16" s="928"/>
      <c r="J16" s="928"/>
      <c r="K16" s="928"/>
      <c r="L16" s="929"/>
      <c r="M16" s="875"/>
      <c r="N16" s="875"/>
      <c r="O16" s="875"/>
      <c r="P16" s="875"/>
      <c r="Q16" s="875"/>
      <c r="R16" s="875"/>
      <c r="S16" s="875" t="s">
        <v>65</v>
      </c>
      <c r="T16" s="875"/>
      <c r="U16" s="875"/>
      <c r="V16" s="16"/>
      <c r="W16" s="875"/>
      <c r="X16" s="876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1"/>
      <c r="AJ16" s="761"/>
      <c r="AK16" s="761"/>
      <c r="AL16" s="762"/>
    </row>
    <row r="17" spans="2:38" s="6" customFormat="1" ht="19.899999999999999" customHeight="1">
      <c r="B17" s="705"/>
      <c r="C17" s="900"/>
      <c r="D17" s="901"/>
      <c r="E17" s="901"/>
      <c r="F17" s="904"/>
      <c r="G17" s="904"/>
      <c r="H17" s="904"/>
      <c r="I17" s="904"/>
      <c r="J17" s="904"/>
      <c r="K17" s="904"/>
      <c r="L17" s="904"/>
      <c r="M17" s="875"/>
      <c r="N17" s="875"/>
      <c r="O17" s="875"/>
      <c r="P17" s="875"/>
      <c r="Q17" s="875"/>
      <c r="R17" s="875"/>
      <c r="S17" s="875" t="s">
        <v>65</v>
      </c>
      <c r="T17" s="875"/>
      <c r="U17" s="875"/>
      <c r="V17" s="16"/>
      <c r="W17" s="875"/>
      <c r="X17" s="876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1"/>
      <c r="AJ17" s="761"/>
      <c r="AK17" s="761"/>
      <c r="AL17" s="762"/>
    </row>
    <row r="18" spans="2:38" s="6" customFormat="1" ht="19.899999999999999" customHeight="1">
      <c r="B18" s="705"/>
      <c r="C18" s="900"/>
      <c r="D18" s="901"/>
      <c r="E18" s="901"/>
      <c r="F18" s="904"/>
      <c r="G18" s="904"/>
      <c r="H18" s="904"/>
      <c r="I18" s="904"/>
      <c r="J18" s="904"/>
      <c r="K18" s="904"/>
      <c r="L18" s="904"/>
      <c r="M18" s="875"/>
      <c r="N18" s="875"/>
      <c r="O18" s="875"/>
      <c r="P18" s="875"/>
      <c r="Q18" s="875"/>
      <c r="R18" s="875"/>
      <c r="S18" s="875" t="s">
        <v>65</v>
      </c>
      <c r="T18" s="875"/>
      <c r="U18" s="875"/>
      <c r="V18" s="16"/>
      <c r="W18" s="875"/>
      <c r="X18" s="876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1"/>
      <c r="AJ18" s="761"/>
      <c r="AK18" s="761"/>
      <c r="AL18" s="762"/>
    </row>
    <row r="19" spans="2:38" s="6" customFormat="1" ht="19.899999999999999" customHeight="1">
      <c r="B19" s="705"/>
      <c r="C19" s="900"/>
      <c r="D19" s="901"/>
      <c r="E19" s="901"/>
      <c r="F19" s="904"/>
      <c r="G19" s="904"/>
      <c r="H19" s="904"/>
      <c r="I19" s="904"/>
      <c r="J19" s="904"/>
      <c r="K19" s="904"/>
      <c r="L19" s="904"/>
      <c r="M19" s="875"/>
      <c r="N19" s="875"/>
      <c r="O19" s="875"/>
      <c r="P19" s="875"/>
      <c r="Q19" s="875"/>
      <c r="R19" s="875"/>
      <c r="S19" s="875" t="s">
        <v>65</v>
      </c>
      <c r="T19" s="875"/>
      <c r="U19" s="875"/>
      <c r="V19" s="16"/>
      <c r="W19" s="875"/>
      <c r="X19" s="876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1"/>
      <c r="AJ19" s="761"/>
      <c r="AK19" s="761"/>
      <c r="AL19" s="762"/>
    </row>
    <row r="20" spans="2:38" s="6" customFormat="1" ht="19.899999999999999" customHeight="1">
      <c r="B20" s="705"/>
      <c r="C20" s="900"/>
      <c r="D20" s="901"/>
      <c r="E20" s="901"/>
      <c r="F20" s="904"/>
      <c r="G20" s="904"/>
      <c r="H20" s="904"/>
      <c r="I20" s="904"/>
      <c r="J20" s="904"/>
      <c r="K20" s="904"/>
      <c r="L20" s="904"/>
      <c r="M20" s="875"/>
      <c r="N20" s="875"/>
      <c r="O20" s="875"/>
      <c r="P20" s="875"/>
      <c r="Q20" s="875"/>
      <c r="R20" s="875"/>
      <c r="S20" s="875" t="s">
        <v>65</v>
      </c>
      <c r="T20" s="875"/>
      <c r="U20" s="875"/>
      <c r="V20" s="16"/>
      <c r="W20" s="875"/>
      <c r="X20" s="876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1"/>
      <c r="AJ20" s="761"/>
      <c r="AK20" s="761"/>
      <c r="AL20" s="762"/>
    </row>
    <row r="21" spans="2:38" s="6" customFormat="1" ht="19.899999999999999" customHeight="1">
      <c r="B21" s="705"/>
      <c r="C21" s="900"/>
      <c r="D21" s="901"/>
      <c r="E21" s="901"/>
      <c r="F21" s="904"/>
      <c r="G21" s="904"/>
      <c r="H21" s="904"/>
      <c r="I21" s="904"/>
      <c r="J21" s="904"/>
      <c r="K21" s="904"/>
      <c r="L21" s="904"/>
      <c r="M21" s="875"/>
      <c r="N21" s="875"/>
      <c r="O21" s="875"/>
      <c r="P21" s="875"/>
      <c r="Q21" s="875"/>
      <c r="R21" s="875"/>
      <c r="S21" s="875" t="s">
        <v>65</v>
      </c>
      <c r="T21" s="875"/>
      <c r="U21" s="875"/>
      <c r="V21" s="16"/>
      <c r="W21" s="875"/>
      <c r="X21" s="876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1"/>
      <c r="AJ21" s="761"/>
      <c r="AK21" s="761"/>
      <c r="AL21" s="762"/>
    </row>
    <row r="22" spans="2:38" s="6" customFormat="1" ht="19.899999999999999" customHeight="1">
      <c r="B22" s="705"/>
      <c r="C22" s="900"/>
      <c r="D22" s="901"/>
      <c r="E22" s="901"/>
      <c r="F22" s="904"/>
      <c r="G22" s="904"/>
      <c r="H22" s="904"/>
      <c r="I22" s="904"/>
      <c r="J22" s="904"/>
      <c r="K22" s="904"/>
      <c r="L22" s="904"/>
      <c r="M22" s="875"/>
      <c r="N22" s="875"/>
      <c r="O22" s="875"/>
      <c r="P22" s="875"/>
      <c r="Q22" s="875"/>
      <c r="R22" s="875"/>
      <c r="S22" s="875" t="s">
        <v>65</v>
      </c>
      <c r="T22" s="875"/>
      <c r="U22" s="875"/>
      <c r="V22" s="16"/>
      <c r="W22" s="875"/>
      <c r="X22" s="876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1"/>
      <c r="AJ22" s="761"/>
      <c r="AK22" s="761"/>
      <c r="AL22" s="762"/>
    </row>
    <row r="23" spans="2:38" s="6" customFormat="1" ht="19.899999999999999" customHeight="1">
      <c r="B23" s="705"/>
      <c r="C23" s="900"/>
      <c r="D23" s="901"/>
      <c r="E23" s="901"/>
      <c r="F23" s="904"/>
      <c r="G23" s="904"/>
      <c r="H23" s="904"/>
      <c r="I23" s="904"/>
      <c r="J23" s="904"/>
      <c r="K23" s="904"/>
      <c r="L23" s="904"/>
      <c r="M23" s="875"/>
      <c r="N23" s="875"/>
      <c r="O23" s="875"/>
      <c r="P23" s="875"/>
      <c r="Q23" s="875"/>
      <c r="R23" s="875"/>
      <c r="S23" s="875" t="s">
        <v>65</v>
      </c>
      <c r="T23" s="875"/>
      <c r="U23" s="875"/>
      <c r="V23" s="16"/>
      <c r="W23" s="875"/>
      <c r="X23" s="876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1"/>
      <c r="AJ23" s="761"/>
      <c r="AK23" s="761"/>
      <c r="AL23" s="762"/>
    </row>
    <row r="24" spans="2:38" s="6" customFormat="1" ht="19.899999999999999" customHeight="1" thickBot="1">
      <c r="B24" s="706"/>
      <c r="C24" s="930"/>
      <c r="D24" s="931"/>
      <c r="E24" s="931"/>
      <c r="F24" s="932"/>
      <c r="G24" s="932"/>
      <c r="H24" s="932"/>
      <c r="I24" s="932"/>
      <c r="J24" s="932"/>
      <c r="K24" s="932"/>
      <c r="L24" s="932"/>
      <c r="M24" s="933"/>
      <c r="N24" s="933"/>
      <c r="O24" s="933"/>
      <c r="P24" s="933"/>
      <c r="Q24" s="933"/>
      <c r="R24" s="933"/>
      <c r="S24" s="933" t="s">
        <v>65</v>
      </c>
      <c r="T24" s="933"/>
      <c r="U24" s="933"/>
      <c r="V24" s="78"/>
      <c r="W24" s="933"/>
      <c r="X24" s="934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6"/>
      <c r="AJ24" s="766"/>
      <c r="AK24" s="766"/>
      <c r="AL24" s="767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890" t="s">
        <v>542</v>
      </c>
      <c r="AD25" s="890"/>
      <c r="AE25" s="890"/>
      <c r="AF25" s="891"/>
      <c r="AG25" s="961" t="s">
        <v>45</v>
      </c>
      <c r="AH25" s="890"/>
      <c r="AI25" s="890"/>
      <c r="AJ25" s="890"/>
      <c r="AK25" s="890"/>
      <c r="AL25" s="962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7" t="s">
        <v>32</v>
      </c>
      <c r="AB26" s="938"/>
      <c r="AC26" s="938"/>
      <c r="AD26" s="938"/>
      <c r="AE26" s="938"/>
      <c r="AF26" s="939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0"/>
      <c r="AB27" s="941"/>
      <c r="AC27" s="941"/>
      <c r="AD27" s="941"/>
      <c r="AE27" s="941"/>
      <c r="AF27" s="942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5"/>
      <c r="AC36" s="935"/>
      <c r="AD36" s="935"/>
      <c r="AE36" s="935"/>
      <c r="AF36" s="936"/>
      <c r="AG36" s="935" t="s">
        <v>31</v>
      </c>
      <c r="AH36" s="935"/>
      <c r="AI36" s="935"/>
      <c r="AJ36" s="935"/>
      <c r="AK36" s="935"/>
      <c r="AL36" s="936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833" t="s">
        <v>533</v>
      </c>
      <c r="AB38" s="833"/>
      <c r="AC38" s="833"/>
      <c r="AD38" s="833"/>
      <c r="AE38" s="833"/>
      <c r="AF38" s="833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0" t="s">
        <v>15</v>
      </c>
      <c r="AG1" s="770"/>
      <c r="AH1" s="770"/>
      <c r="AI1" s="770"/>
      <c r="AJ1" s="905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6" t="s">
        <v>463</v>
      </c>
      <c r="Q4" s="906"/>
      <c r="R4" s="906"/>
      <c r="S4" s="906"/>
      <c r="T4" s="906"/>
      <c r="U4" s="906"/>
      <c r="V4" s="906"/>
      <c r="W4" s="906"/>
      <c r="X4" s="906"/>
      <c r="Y4" s="906"/>
      <c r="Z4" s="906"/>
      <c r="AA4" s="906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968" t="s">
        <v>0</v>
      </c>
      <c r="D7" s="969"/>
      <c r="E7" s="969"/>
      <c r="F7" s="984"/>
      <c r="G7" s="985"/>
      <c r="H7" s="985"/>
      <c r="I7" s="985"/>
      <c r="J7" s="985"/>
      <c r="K7" s="985"/>
      <c r="L7" s="985"/>
      <c r="M7" s="985"/>
      <c r="N7" s="985"/>
      <c r="O7" s="985"/>
      <c r="P7" s="985"/>
      <c r="Q7" s="985"/>
      <c r="R7" s="985"/>
      <c r="S7" s="985"/>
      <c r="T7" s="985"/>
      <c r="U7" s="986"/>
      <c r="V7" s="963" t="s">
        <v>544</v>
      </c>
      <c r="W7" s="964"/>
      <c r="X7" s="964"/>
      <c r="Y7" s="964"/>
      <c r="Z7" s="964"/>
      <c r="AA7" s="964"/>
      <c r="AB7" s="964"/>
      <c r="AC7" s="964"/>
      <c r="AD7" s="964"/>
      <c r="AE7" s="964"/>
      <c r="AF7" s="964"/>
      <c r="AG7" s="964"/>
      <c r="AH7" s="965"/>
      <c r="AI7" s="980" t="s">
        <v>48</v>
      </c>
      <c r="AJ7" s="775"/>
      <c r="AK7" s="775"/>
      <c r="AL7" s="776"/>
    </row>
    <row r="8" spans="2:42" s="2" customFormat="1" ht="34.9" customHeight="1" thickBot="1">
      <c r="B8" s="705"/>
      <c r="C8" s="33" t="s">
        <v>1</v>
      </c>
      <c r="D8" s="33"/>
      <c r="E8" s="33"/>
      <c r="F8" s="888"/>
      <c r="G8" s="888"/>
      <c r="H8" s="888"/>
      <c r="I8" s="888"/>
      <c r="J8" s="888"/>
      <c r="K8" s="888"/>
      <c r="L8" s="5" t="s">
        <v>20</v>
      </c>
      <c r="M8" s="33"/>
      <c r="N8" s="33"/>
      <c r="O8" s="909"/>
      <c r="P8" s="909"/>
      <c r="Q8" s="909"/>
      <c r="R8" s="909"/>
      <c r="S8" s="909"/>
      <c r="T8" s="909"/>
      <c r="U8" s="983"/>
      <c r="V8" s="966" t="s">
        <v>537</v>
      </c>
      <c r="W8" s="967"/>
      <c r="X8" s="967"/>
      <c r="Y8" s="106"/>
      <c r="Z8" s="889" t="s">
        <v>85</v>
      </c>
      <c r="AA8" s="889"/>
      <c r="AB8" s="889"/>
      <c r="AC8" s="889"/>
      <c r="AD8" s="889"/>
      <c r="AE8" s="889"/>
      <c r="AF8" s="889"/>
      <c r="AG8" s="889"/>
      <c r="AH8" s="106"/>
      <c r="AI8" s="777"/>
      <c r="AJ8" s="777"/>
      <c r="AK8" s="777"/>
      <c r="AL8" s="778"/>
    </row>
    <row r="9" spans="2:42" s="2" customFormat="1" ht="40.15" customHeight="1">
      <c r="B9" s="705"/>
      <c r="C9" s="899" t="s">
        <v>37</v>
      </c>
      <c r="D9" s="899"/>
      <c r="E9" s="899"/>
      <c r="F9" s="888"/>
      <c r="G9" s="888"/>
      <c r="H9" s="888"/>
      <c r="I9" s="888"/>
      <c r="J9" s="888"/>
      <c r="K9" s="888"/>
      <c r="L9" s="914" t="s">
        <v>38</v>
      </c>
      <c r="M9" s="981"/>
      <c r="N9" s="981"/>
      <c r="O9" s="909"/>
      <c r="P9" s="909"/>
      <c r="Q9" s="909"/>
      <c r="R9" s="909"/>
      <c r="S9" s="909"/>
      <c r="T9" s="909"/>
      <c r="U9" s="983"/>
      <c r="V9" s="915" t="s">
        <v>58</v>
      </c>
      <c r="W9" s="987"/>
      <c r="X9" s="988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18"/>
      <c r="H10" s="918"/>
      <c r="I10" s="918"/>
      <c r="J10" s="918"/>
      <c r="K10" s="918"/>
      <c r="L10" s="34" t="s">
        <v>28</v>
      </c>
      <c r="M10" s="34"/>
      <c r="N10" s="918"/>
      <c r="O10" s="918"/>
      <c r="P10" s="918"/>
      <c r="Q10" s="918"/>
      <c r="R10" s="918"/>
      <c r="S10" s="918"/>
      <c r="T10" s="918"/>
      <c r="U10" s="978"/>
      <c r="V10" s="846"/>
      <c r="W10" s="925" t="s">
        <v>35</v>
      </c>
      <c r="X10" s="926"/>
      <c r="Y10" s="892" t="s">
        <v>53</v>
      </c>
      <c r="Z10" s="869" t="s">
        <v>474</v>
      </c>
      <c r="AA10" s="869" t="s">
        <v>469</v>
      </c>
      <c r="AB10" s="869" t="s">
        <v>470</v>
      </c>
      <c r="AC10" s="869" t="s">
        <v>530</v>
      </c>
      <c r="AD10" s="869" t="s">
        <v>471</v>
      </c>
      <c r="AE10" s="972" t="s">
        <v>531</v>
      </c>
      <c r="AF10" s="869" t="s">
        <v>472</v>
      </c>
      <c r="AG10" s="869"/>
      <c r="AH10" s="872"/>
      <c r="AI10" s="39"/>
      <c r="AJ10" s="39"/>
      <c r="AK10" s="39"/>
      <c r="AL10" s="40"/>
      <c r="AP10" s="29"/>
    </row>
    <row r="11" spans="2:42" s="2" customFormat="1" ht="18" customHeight="1">
      <c r="B11" s="705"/>
      <c r="C11" s="831"/>
      <c r="D11" s="831"/>
      <c r="E11" s="831"/>
      <c r="F11" s="831"/>
      <c r="G11" s="831"/>
      <c r="H11" s="831"/>
      <c r="I11" s="831"/>
      <c r="J11" s="831"/>
      <c r="K11" s="831"/>
      <c r="L11" s="919"/>
      <c r="M11" s="919"/>
      <c r="N11" s="919"/>
      <c r="O11" s="919"/>
      <c r="P11" s="919"/>
      <c r="Q11" s="919"/>
      <c r="R11" s="919"/>
      <c r="S11" s="919"/>
      <c r="T11" s="919"/>
      <c r="U11" s="979"/>
      <c r="V11" s="846"/>
      <c r="W11" s="865" t="s">
        <v>22</v>
      </c>
      <c r="X11" s="866"/>
      <c r="Y11" s="893"/>
      <c r="Z11" s="870"/>
      <c r="AA11" s="870"/>
      <c r="AB11" s="870"/>
      <c r="AC11" s="870"/>
      <c r="AD11" s="870"/>
      <c r="AE11" s="973"/>
      <c r="AF11" s="870"/>
      <c r="AG11" s="870"/>
      <c r="AH11" s="873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18"/>
      <c r="H12" s="918"/>
      <c r="I12" s="918"/>
      <c r="J12" s="918"/>
      <c r="K12" s="918"/>
      <c r="L12" s="34" t="s">
        <v>4</v>
      </c>
      <c r="M12" s="34"/>
      <c r="N12" s="34"/>
      <c r="O12" s="918"/>
      <c r="P12" s="918"/>
      <c r="Q12" s="918"/>
      <c r="R12" s="918"/>
      <c r="S12" s="918"/>
      <c r="T12" s="918"/>
      <c r="U12" s="978"/>
      <c r="V12" s="846"/>
      <c r="W12" s="865" t="s">
        <v>23</v>
      </c>
      <c r="X12" s="866"/>
      <c r="Y12" s="893"/>
      <c r="Z12" s="870"/>
      <c r="AA12" s="870"/>
      <c r="AB12" s="870"/>
      <c r="AC12" s="870"/>
      <c r="AD12" s="870"/>
      <c r="AE12" s="973"/>
      <c r="AF12" s="870"/>
      <c r="AG12" s="870"/>
      <c r="AH12" s="873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2"/>
      <c r="D13" s="982"/>
      <c r="E13" s="982"/>
      <c r="F13" s="982"/>
      <c r="G13" s="982"/>
      <c r="H13" s="982"/>
      <c r="I13" s="982"/>
      <c r="J13" s="982"/>
      <c r="K13" s="982"/>
      <c r="L13" s="35" t="s">
        <v>29</v>
      </c>
      <c r="M13" s="35"/>
      <c r="N13" s="989"/>
      <c r="O13" s="989"/>
      <c r="P13" s="989"/>
      <c r="Q13" s="989"/>
      <c r="R13" s="989"/>
      <c r="S13" s="989"/>
      <c r="T13" s="989"/>
      <c r="U13" s="990"/>
      <c r="V13" s="846"/>
      <c r="W13" s="877"/>
      <c r="X13" s="878"/>
      <c r="Y13" s="893"/>
      <c r="Z13" s="870"/>
      <c r="AA13" s="870"/>
      <c r="AB13" s="870"/>
      <c r="AC13" s="870"/>
      <c r="AD13" s="870"/>
      <c r="AE13" s="973"/>
      <c r="AF13" s="870"/>
      <c r="AG13" s="870"/>
      <c r="AH13" s="873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1" t="s">
        <v>34</v>
      </c>
      <c r="D14" s="992"/>
      <c r="E14" s="992"/>
      <c r="F14" s="971" t="s">
        <v>5</v>
      </c>
      <c r="G14" s="971"/>
      <c r="H14" s="971"/>
      <c r="I14" s="971"/>
      <c r="J14" s="971"/>
      <c r="K14" s="971"/>
      <c r="L14" s="971"/>
      <c r="M14" s="970" t="s">
        <v>61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79"/>
      <c r="X14" s="880"/>
      <c r="Y14" s="894"/>
      <c r="Z14" s="871"/>
      <c r="AA14" s="871"/>
      <c r="AB14" s="871"/>
      <c r="AC14" s="871"/>
      <c r="AD14" s="871"/>
      <c r="AE14" s="974"/>
      <c r="AF14" s="871"/>
      <c r="AG14" s="871"/>
      <c r="AH14" s="874"/>
      <c r="AI14" s="758" t="s">
        <v>40</v>
      </c>
      <c r="AJ14" s="759"/>
      <c r="AK14" s="759"/>
      <c r="AL14" s="760"/>
    </row>
    <row r="15" spans="2:42" s="17" customFormat="1" ht="19.899999999999999" customHeight="1">
      <c r="B15" s="705"/>
      <c r="C15" s="900"/>
      <c r="D15" s="901"/>
      <c r="E15" s="901"/>
      <c r="F15" s="904"/>
      <c r="G15" s="904"/>
      <c r="H15" s="904"/>
      <c r="I15" s="904"/>
      <c r="J15" s="904"/>
      <c r="K15" s="904"/>
      <c r="L15" s="904"/>
      <c r="M15" s="875"/>
      <c r="N15" s="875"/>
      <c r="O15" s="875"/>
      <c r="P15" s="875"/>
      <c r="Q15" s="875"/>
      <c r="R15" s="875"/>
      <c r="S15" s="875" t="s">
        <v>65</v>
      </c>
      <c r="T15" s="875"/>
      <c r="U15" s="875"/>
      <c r="V15" s="16"/>
      <c r="W15" s="875"/>
      <c r="X15" s="876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1"/>
      <c r="AJ15" s="761"/>
      <c r="AK15" s="761"/>
      <c r="AL15" s="762"/>
    </row>
    <row r="16" spans="2:42" s="17" customFormat="1" ht="19.899999999999999" customHeight="1">
      <c r="B16" s="705"/>
      <c r="C16" s="900"/>
      <c r="D16" s="901"/>
      <c r="E16" s="901"/>
      <c r="F16" s="927"/>
      <c r="G16" s="928"/>
      <c r="H16" s="928"/>
      <c r="I16" s="928"/>
      <c r="J16" s="928"/>
      <c r="K16" s="928"/>
      <c r="L16" s="929"/>
      <c r="M16" s="875"/>
      <c r="N16" s="875"/>
      <c r="O16" s="875"/>
      <c r="P16" s="875"/>
      <c r="Q16" s="875"/>
      <c r="R16" s="875"/>
      <c r="S16" s="875" t="s">
        <v>65</v>
      </c>
      <c r="T16" s="875"/>
      <c r="U16" s="875"/>
      <c r="V16" s="16"/>
      <c r="W16" s="875"/>
      <c r="X16" s="876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1"/>
      <c r="AJ16" s="761"/>
      <c r="AK16" s="761"/>
      <c r="AL16" s="762"/>
      <c r="AO16" s="97"/>
      <c r="AP16" s="97"/>
    </row>
    <row r="17" spans="2:38" s="6" customFormat="1" ht="19.899999999999999" customHeight="1">
      <c r="B17" s="705"/>
      <c r="C17" s="900"/>
      <c r="D17" s="901"/>
      <c r="E17" s="901"/>
      <c r="F17" s="904"/>
      <c r="G17" s="904"/>
      <c r="H17" s="904"/>
      <c r="I17" s="904"/>
      <c r="J17" s="904"/>
      <c r="K17" s="904"/>
      <c r="L17" s="904"/>
      <c r="M17" s="875"/>
      <c r="N17" s="875"/>
      <c r="O17" s="875"/>
      <c r="P17" s="875"/>
      <c r="Q17" s="875"/>
      <c r="R17" s="875"/>
      <c r="S17" s="875" t="s">
        <v>65</v>
      </c>
      <c r="T17" s="875"/>
      <c r="U17" s="875"/>
      <c r="V17" s="16"/>
      <c r="W17" s="875"/>
      <c r="X17" s="876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1"/>
      <c r="AJ17" s="761"/>
      <c r="AK17" s="761"/>
      <c r="AL17" s="762"/>
    </row>
    <row r="18" spans="2:38" s="6" customFormat="1" ht="19.899999999999999" customHeight="1">
      <c r="B18" s="705"/>
      <c r="C18" s="900"/>
      <c r="D18" s="901"/>
      <c r="E18" s="901"/>
      <c r="F18" s="904"/>
      <c r="G18" s="904"/>
      <c r="H18" s="904"/>
      <c r="I18" s="904"/>
      <c r="J18" s="904"/>
      <c r="K18" s="904"/>
      <c r="L18" s="904"/>
      <c r="M18" s="875"/>
      <c r="N18" s="875"/>
      <c r="O18" s="875"/>
      <c r="P18" s="875"/>
      <c r="Q18" s="875"/>
      <c r="R18" s="875"/>
      <c r="S18" s="875" t="s">
        <v>65</v>
      </c>
      <c r="T18" s="875"/>
      <c r="U18" s="875"/>
      <c r="V18" s="16"/>
      <c r="W18" s="875"/>
      <c r="X18" s="876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1"/>
      <c r="AJ18" s="761"/>
      <c r="AK18" s="761"/>
      <c r="AL18" s="762"/>
    </row>
    <row r="19" spans="2:38" s="6" customFormat="1" ht="19.899999999999999" customHeight="1">
      <c r="B19" s="705"/>
      <c r="C19" s="900"/>
      <c r="D19" s="901"/>
      <c r="E19" s="901"/>
      <c r="F19" s="904"/>
      <c r="G19" s="904"/>
      <c r="H19" s="904"/>
      <c r="I19" s="904"/>
      <c r="J19" s="904"/>
      <c r="K19" s="904"/>
      <c r="L19" s="904"/>
      <c r="M19" s="875"/>
      <c r="N19" s="875"/>
      <c r="O19" s="875"/>
      <c r="P19" s="875"/>
      <c r="Q19" s="875"/>
      <c r="R19" s="875"/>
      <c r="S19" s="875" t="s">
        <v>65</v>
      </c>
      <c r="T19" s="875"/>
      <c r="U19" s="875"/>
      <c r="V19" s="16"/>
      <c r="W19" s="875"/>
      <c r="X19" s="876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1"/>
      <c r="AJ19" s="761"/>
      <c r="AK19" s="761"/>
      <c r="AL19" s="762"/>
    </row>
    <row r="20" spans="2:38" s="6" customFormat="1" ht="19.899999999999999" customHeight="1">
      <c r="B20" s="705"/>
      <c r="C20" s="900"/>
      <c r="D20" s="901"/>
      <c r="E20" s="901"/>
      <c r="F20" s="904"/>
      <c r="G20" s="904"/>
      <c r="H20" s="904"/>
      <c r="I20" s="904"/>
      <c r="J20" s="904"/>
      <c r="K20" s="904"/>
      <c r="L20" s="904"/>
      <c r="M20" s="875"/>
      <c r="N20" s="875"/>
      <c r="O20" s="875"/>
      <c r="P20" s="875"/>
      <c r="Q20" s="875"/>
      <c r="R20" s="875"/>
      <c r="S20" s="875" t="s">
        <v>65</v>
      </c>
      <c r="T20" s="875"/>
      <c r="U20" s="875"/>
      <c r="V20" s="16"/>
      <c r="W20" s="875"/>
      <c r="X20" s="876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1"/>
      <c r="AJ20" s="761"/>
      <c r="AK20" s="761"/>
      <c r="AL20" s="762"/>
    </row>
    <row r="21" spans="2:38" s="6" customFormat="1" ht="19.899999999999999" customHeight="1">
      <c r="B21" s="705"/>
      <c r="C21" s="900"/>
      <c r="D21" s="901"/>
      <c r="E21" s="901"/>
      <c r="F21" s="904"/>
      <c r="G21" s="904"/>
      <c r="H21" s="904"/>
      <c r="I21" s="904"/>
      <c r="J21" s="904"/>
      <c r="K21" s="904"/>
      <c r="L21" s="904"/>
      <c r="M21" s="875"/>
      <c r="N21" s="875"/>
      <c r="O21" s="875"/>
      <c r="P21" s="875"/>
      <c r="Q21" s="875"/>
      <c r="R21" s="875"/>
      <c r="S21" s="875" t="s">
        <v>65</v>
      </c>
      <c r="T21" s="875"/>
      <c r="U21" s="875"/>
      <c r="V21" s="16"/>
      <c r="W21" s="875"/>
      <c r="X21" s="876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1"/>
      <c r="AJ21" s="761"/>
      <c r="AK21" s="761"/>
      <c r="AL21" s="762"/>
    </row>
    <row r="22" spans="2:38" s="6" customFormat="1" ht="19.899999999999999" customHeight="1">
      <c r="B22" s="705"/>
      <c r="C22" s="900"/>
      <c r="D22" s="901"/>
      <c r="E22" s="901"/>
      <c r="F22" s="904"/>
      <c r="G22" s="904"/>
      <c r="H22" s="904"/>
      <c r="I22" s="904"/>
      <c r="J22" s="904"/>
      <c r="K22" s="904"/>
      <c r="L22" s="904"/>
      <c r="M22" s="875"/>
      <c r="N22" s="875"/>
      <c r="O22" s="875"/>
      <c r="P22" s="875"/>
      <c r="Q22" s="875"/>
      <c r="R22" s="875"/>
      <c r="S22" s="875" t="s">
        <v>65</v>
      </c>
      <c r="T22" s="875"/>
      <c r="U22" s="875"/>
      <c r="V22" s="16"/>
      <c r="W22" s="875"/>
      <c r="X22" s="876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1"/>
      <c r="AJ22" s="761"/>
      <c r="AK22" s="761"/>
      <c r="AL22" s="762"/>
    </row>
    <row r="23" spans="2:38" s="6" customFormat="1" ht="19.899999999999999" customHeight="1">
      <c r="B23" s="705"/>
      <c r="C23" s="900"/>
      <c r="D23" s="901"/>
      <c r="E23" s="901"/>
      <c r="F23" s="904"/>
      <c r="G23" s="904"/>
      <c r="H23" s="904"/>
      <c r="I23" s="904"/>
      <c r="J23" s="904"/>
      <c r="K23" s="904"/>
      <c r="L23" s="904"/>
      <c r="M23" s="875"/>
      <c r="N23" s="875"/>
      <c r="O23" s="875"/>
      <c r="P23" s="875"/>
      <c r="Q23" s="875"/>
      <c r="R23" s="875"/>
      <c r="S23" s="875" t="s">
        <v>65</v>
      </c>
      <c r="T23" s="875"/>
      <c r="U23" s="875"/>
      <c r="V23" s="16"/>
      <c r="W23" s="875"/>
      <c r="X23" s="876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1"/>
      <c r="AJ23" s="761"/>
      <c r="AK23" s="761"/>
      <c r="AL23" s="762"/>
    </row>
    <row r="24" spans="2:38" s="6" customFormat="1" ht="19.899999999999999" customHeight="1" thickBot="1">
      <c r="B24" s="706"/>
      <c r="C24" s="930"/>
      <c r="D24" s="931"/>
      <c r="E24" s="931"/>
      <c r="F24" s="932"/>
      <c r="G24" s="932"/>
      <c r="H24" s="932"/>
      <c r="I24" s="932"/>
      <c r="J24" s="932"/>
      <c r="K24" s="932"/>
      <c r="L24" s="932"/>
      <c r="M24" s="933"/>
      <c r="N24" s="933"/>
      <c r="O24" s="933"/>
      <c r="P24" s="933"/>
      <c r="Q24" s="933"/>
      <c r="R24" s="933"/>
      <c r="S24" s="933" t="s">
        <v>65</v>
      </c>
      <c r="T24" s="933"/>
      <c r="U24" s="933"/>
      <c r="V24" s="78"/>
      <c r="W24" s="933"/>
      <c r="X24" s="934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6"/>
      <c r="AJ24" s="766"/>
      <c r="AK24" s="766"/>
      <c r="AL24" s="767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890" t="s">
        <v>542</v>
      </c>
      <c r="AD25" s="890"/>
      <c r="AE25" s="890"/>
      <c r="AF25" s="891"/>
      <c r="AG25" s="716" t="s">
        <v>45</v>
      </c>
      <c r="AH25" s="717"/>
      <c r="AI25" s="717"/>
      <c r="AJ25" s="717"/>
      <c r="AK25" s="717"/>
      <c r="AL25" s="718"/>
    </row>
    <row r="26" spans="2:38" s="8" customFormat="1" ht="15" customHeight="1">
      <c r="B26" s="705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6" t="s">
        <v>32</v>
      </c>
      <c r="AB26" s="997"/>
      <c r="AC26" s="997"/>
      <c r="AD26" s="997"/>
      <c r="AE26" s="997"/>
      <c r="AF26" s="998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9"/>
      <c r="AB27" s="1000"/>
      <c r="AC27" s="1000"/>
      <c r="AD27" s="1000"/>
      <c r="AE27" s="1000"/>
      <c r="AF27" s="1001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5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5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6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93" t="s">
        <v>31</v>
      </c>
      <c r="AB36" s="994"/>
      <c r="AC36" s="994"/>
      <c r="AD36" s="994"/>
      <c r="AE36" s="994"/>
      <c r="AF36" s="995"/>
      <c r="AG36" s="994" t="s">
        <v>31</v>
      </c>
      <c r="AH36" s="994"/>
      <c r="AI36" s="994"/>
      <c r="AJ36" s="994"/>
      <c r="AK36" s="994"/>
      <c r="AL36" s="995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3" t="s">
        <v>533</v>
      </c>
      <c r="AB38" s="833"/>
      <c r="AC38" s="833"/>
      <c r="AD38" s="833"/>
      <c r="AE38" s="833"/>
      <c r="AF38" s="833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0" t="s">
        <v>15</v>
      </c>
      <c r="AG1" s="770"/>
      <c r="AH1" s="770"/>
      <c r="AI1" s="770"/>
      <c r="AJ1" s="905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6" t="s">
        <v>464</v>
      </c>
      <c r="Q4" s="906"/>
      <c r="R4" s="906"/>
      <c r="S4" s="906"/>
      <c r="T4" s="906"/>
      <c r="U4" s="906"/>
      <c r="V4" s="906"/>
      <c r="W4" s="906"/>
      <c r="X4" s="906"/>
      <c r="Y4" s="906"/>
      <c r="Z4" s="906"/>
      <c r="AA4" s="906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968" t="s">
        <v>0</v>
      </c>
      <c r="D7" s="969"/>
      <c r="E7" s="969"/>
      <c r="F7" s="984"/>
      <c r="G7" s="985"/>
      <c r="H7" s="985"/>
      <c r="I7" s="985"/>
      <c r="J7" s="985"/>
      <c r="K7" s="985"/>
      <c r="L7" s="985"/>
      <c r="M7" s="985"/>
      <c r="N7" s="985"/>
      <c r="O7" s="985"/>
      <c r="P7" s="985"/>
      <c r="Q7" s="985"/>
      <c r="R7" s="985"/>
      <c r="S7" s="985"/>
      <c r="T7" s="985"/>
      <c r="U7" s="986"/>
      <c r="V7" s="881" t="s">
        <v>544</v>
      </c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3"/>
      <c r="AI7" s="774" t="s">
        <v>48</v>
      </c>
      <c r="AJ7" s="775"/>
      <c r="AK7" s="775"/>
      <c r="AL7" s="776"/>
    </row>
    <row r="8" spans="2:42" s="2" customFormat="1" ht="34.9" customHeight="1" thickBot="1">
      <c r="B8" s="705"/>
      <c r="C8" s="33" t="s">
        <v>1</v>
      </c>
      <c r="D8" s="33"/>
      <c r="E8" s="33"/>
      <c r="F8" s="888"/>
      <c r="G8" s="888"/>
      <c r="H8" s="888"/>
      <c r="I8" s="888"/>
      <c r="J8" s="888"/>
      <c r="K8" s="888"/>
      <c r="L8" s="5" t="s">
        <v>20</v>
      </c>
      <c r="M8" s="33"/>
      <c r="N8" s="33"/>
      <c r="O8" s="909"/>
      <c r="P8" s="909"/>
      <c r="Q8" s="909"/>
      <c r="R8" s="909"/>
      <c r="S8" s="909"/>
      <c r="T8" s="909"/>
      <c r="U8" s="983"/>
      <c r="V8" s="1005" t="s">
        <v>537</v>
      </c>
      <c r="W8" s="912"/>
      <c r="X8" s="913"/>
      <c r="Y8" s="114"/>
      <c r="Z8" s="889" t="s">
        <v>543</v>
      </c>
      <c r="AA8" s="889"/>
      <c r="AB8" s="889"/>
      <c r="AC8" s="889"/>
      <c r="AD8" s="889"/>
      <c r="AE8" s="889"/>
      <c r="AF8" s="889"/>
      <c r="AG8" s="889"/>
      <c r="AH8" s="114"/>
      <c r="AI8" s="777"/>
      <c r="AJ8" s="777"/>
      <c r="AK8" s="777"/>
      <c r="AL8" s="778"/>
    </row>
    <row r="9" spans="2:42" s="2" customFormat="1" ht="40.15" customHeight="1">
      <c r="B9" s="705"/>
      <c r="C9" s="899" t="s">
        <v>37</v>
      </c>
      <c r="D9" s="899"/>
      <c r="E9" s="899"/>
      <c r="F9" s="888"/>
      <c r="G9" s="888"/>
      <c r="H9" s="888"/>
      <c r="I9" s="888"/>
      <c r="J9" s="888"/>
      <c r="K9" s="888"/>
      <c r="L9" s="914" t="s">
        <v>38</v>
      </c>
      <c r="M9" s="981"/>
      <c r="N9" s="981"/>
      <c r="O9" s="909"/>
      <c r="P9" s="909"/>
      <c r="Q9" s="909"/>
      <c r="R9" s="909"/>
      <c r="S9" s="909"/>
      <c r="T9" s="909"/>
      <c r="U9" s="983"/>
      <c r="V9" s="915" t="s">
        <v>58</v>
      </c>
      <c r="W9" s="987"/>
      <c r="X9" s="988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18"/>
      <c r="H10" s="918"/>
      <c r="I10" s="918"/>
      <c r="J10" s="918"/>
      <c r="K10" s="918"/>
      <c r="L10" s="34" t="s">
        <v>28</v>
      </c>
      <c r="M10" s="34"/>
      <c r="N10" s="918"/>
      <c r="O10" s="918"/>
      <c r="P10" s="918"/>
      <c r="Q10" s="918"/>
      <c r="R10" s="918"/>
      <c r="S10" s="918"/>
      <c r="T10" s="918"/>
      <c r="U10" s="978"/>
      <c r="V10" s="846"/>
      <c r="W10" s="925" t="s">
        <v>35</v>
      </c>
      <c r="X10" s="926"/>
      <c r="Y10" s="892" t="s">
        <v>475</v>
      </c>
      <c r="Z10" s="892" t="s">
        <v>476</v>
      </c>
      <c r="AA10" s="892" t="s">
        <v>53</v>
      </c>
      <c r="AB10" s="869" t="s">
        <v>478</v>
      </c>
      <c r="AC10" s="869" t="s">
        <v>473</v>
      </c>
      <c r="AD10" s="869" t="s">
        <v>477</v>
      </c>
      <c r="AE10" s="869" t="s">
        <v>479</v>
      </c>
      <c r="AF10" s="972" t="s">
        <v>480</v>
      </c>
      <c r="AG10" s="972" t="s">
        <v>532</v>
      </c>
      <c r="AH10" s="869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5"/>
      <c r="C11" s="831"/>
      <c r="D11" s="831"/>
      <c r="E11" s="831"/>
      <c r="F11" s="831"/>
      <c r="G11" s="831"/>
      <c r="H11" s="831"/>
      <c r="I11" s="831"/>
      <c r="J11" s="831"/>
      <c r="K11" s="831"/>
      <c r="L11" s="919"/>
      <c r="M11" s="919"/>
      <c r="N11" s="919"/>
      <c r="O11" s="919"/>
      <c r="P11" s="919"/>
      <c r="Q11" s="919"/>
      <c r="R11" s="919"/>
      <c r="S11" s="919"/>
      <c r="T11" s="919"/>
      <c r="U11" s="979"/>
      <c r="V11" s="846"/>
      <c r="W11" s="865" t="s">
        <v>22</v>
      </c>
      <c r="X11" s="866"/>
      <c r="Y11" s="893"/>
      <c r="Z11" s="893"/>
      <c r="AA11" s="893"/>
      <c r="AB11" s="870"/>
      <c r="AC11" s="870"/>
      <c r="AD11" s="870"/>
      <c r="AE11" s="870"/>
      <c r="AF11" s="973"/>
      <c r="AG11" s="973"/>
      <c r="AH11" s="870"/>
      <c r="AI11" s="1002"/>
      <c r="AJ11" s="1003"/>
      <c r="AK11" s="1003"/>
      <c r="AL11" s="1004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18"/>
      <c r="H12" s="918"/>
      <c r="I12" s="918"/>
      <c r="J12" s="918"/>
      <c r="K12" s="918"/>
      <c r="L12" s="34" t="s">
        <v>4</v>
      </c>
      <c r="M12" s="34"/>
      <c r="N12" s="34"/>
      <c r="O12" s="918"/>
      <c r="P12" s="918"/>
      <c r="Q12" s="918"/>
      <c r="R12" s="918"/>
      <c r="S12" s="918"/>
      <c r="T12" s="918"/>
      <c r="U12" s="978"/>
      <c r="V12" s="846"/>
      <c r="W12" s="865" t="s">
        <v>23</v>
      </c>
      <c r="X12" s="866"/>
      <c r="Y12" s="893"/>
      <c r="Z12" s="893"/>
      <c r="AA12" s="893"/>
      <c r="AB12" s="870"/>
      <c r="AC12" s="870"/>
      <c r="AD12" s="870"/>
      <c r="AE12" s="870"/>
      <c r="AF12" s="973"/>
      <c r="AG12" s="973"/>
      <c r="AH12" s="870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2"/>
      <c r="D13" s="982"/>
      <c r="E13" s="982"/>
      <c r="F13" s="982"/>
      <c r="G13" s="982"/>
      <c r="H13" s="982"/>
      <c r="I13" s="982"/>
      <c r="J13" s="982"/>
      <c r="K13" s="982"/>
      <c r="L13" s="35" t="s">
        <v>29</v>
      </c>
      <c r="M13" s="35"/>
      <c r="N13" s="989"/>
      <c r="O13" s="989"/>
      <c r="P13" s="989"/>
      <c r="Q13" s="989"/>
      <c r="R13" s="989"/>
      <c r="S13" s="989"/>
      <c r="T13" s="989"/>
      <c r="U13" s="990"/>
      <c r="V13" s="846"/>
      <c r="W13" s="877"/>
      <c r="X13" s="878"/>
      <c r="Y13" s="893"/>
      <c r="Z13" s="893"/>
      <c r="AA13" s="893"/>
      <c r="AB13" s="870"/>
      <c r="AC13" s="870"/>
      <c r="AD13" s="870"/>
      <c r="AE13" s="870"/>
      <c r="AF13" s="973"/>
      <c r="AG13" s="973"/>
      <c r="AH13" s="870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1" t="s">
        <v>34</v>
      </c>
      <c r="D14" s="992"/>
      <c r="E14" s="992"/>
      <c r="F14" s="971" t="s">
        <v>5</v>
      </c>
      <c r="G14" s="971"/>
      <c r="H14" s="971"/>
      <c r="I14" s="971"/>
      <c r="J14" s="971"/>
      <c r="K14" s="971"/>
      <c r="L14" s="971"/>
      <c r="M14" s="970" t="s">
        <v>61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79"/>
      <c r="X14" s="880"/>
      <c r="Y14" s="894"/>
      <c r="Z14" s="894"/>
      <c r="AA14" s="894"/>
      <c r="AB14" s="871"/>
      <c r="AC14" s="871"/>
      <c r="AD14" s="871"/>
      <c r="AE14" s="871"/>
      <c r="AF14" s="974"/>
      <c r="AG14" s="974"/>
      <c r="AH14" s="871"/>
      <c r="AI14" s="758" t="s">
        <v>40</v>
      </c>
      <c r="AJ14" s="759"/>
      <c r="AK14" s="759"/>
      <c r="AL14" s="760"/>
    </row>
    <row r="15" spans="2:42" s="17" customFormat="1" ht="19.899999999999999" customHeight="1">
      <c r="B15" s="705"/>
      <c r="C15" s="900"/>
      <c r="D15" s="901"/>
      <c r="E15" s="901"/>
      <c r="F15" s="904"/>
      <c r="G15" s="904"/>
      <c r="H15" s="904"/>
      <c r="I15" s="904"/>
      <c r="J15" s="904"/>
      <c r="K15" s="904"/>
      <c r="L15" s="904"/>
      <c r="M15" s="875"/>
      <c r="N15" s="875"/>
      <c r="O15" s="875"/>
      <c r="P15" s="875"/>
      <c r="Q15" s="875"/>
      <c r="R15" s="875"/>
      <c r="S15" s="875" t="s">
        <v>65</v>
      </c>
      <c r="T15" s="875"/>
      <c r="U15" s="875"/>
      <c r="V15" s="16"/>
      <c r="W15" s="875"/>
      <c r="X15" s="876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1"/>
      <c r="AJ15" s="761"/>
      <c r="AK15" s="761"/>
      <c r="AL15" s="762"/>
    </row>
    <row r="16" spans="2:42" s="17" customFormat="1" ht="19.899999999999999" customHeight="1">
      <c r="B16" s="705"/>
      <c r="C16" s="900"/>
      <c r="D16" s="901"/>
      <c r="E16" s="901"/>
      <c r="F16" s="927"/>
      <c r="G16" s="928"/>
      <c r="H16" s="928"/>
      <c r="I16" s="928"/>
      <c r="J16" s="928"/>
      <c r="K16" s="928"/>
      <c r="L16" s="929"/>
      <c r="M16" s="875"/>
      <c r="N16" s="875"/>
      <c r="O16" s="875"/>
      <c r="P16" s="875"/>
      <c r="Q16" s="875"/>
      <c r="R16" s="875"/>
      <c r="S16" s="875" t="s">
        <v>65</v>
      </c>
      <c r="T16" s="875"/>
      <c r="U16" s="875"/>
      <c r="V16" s="16"/>
      <c r="W16" s="875"/>
      <c r="X16" s="876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1"/>
      <c r="AJ16" s="761"/>
      <c r="AK16" s="761"/>
      <c r="AL16" s="762"/>
    </row>
    <row r="17" spans="2:38" s="6" customFormat="1" ht="19.899999999999999" customHeight="1">
      <c r="B17" s="705"/>
      <c r="C17" s="900"/>
      <c r="D17" s="901"/>
      <c r="E17" s="901"/>
      <c r="F17" s="904"/>
      <c r="G17" s="904"/>
      <c r="H17" s="904"/>
      <c r="I17" s="904"/>
      <c r="J17" s="904"/>
      <c r="K17" s="904"/>
      <c r="L17" s="904"/>
      <c r="M17" s="875"/>
      <c r="N17" s="875"/>
      <c r="O17" s="875"/>
      <c r="P17" s="875"/>
      <c r="Q17" s="875"/>
      <c r="R17" s="875"/>
      <c r="S17" s="875" t="s">
        <v>65</v>
      </c>
      <c r="T17" s="875"/>
      <c r="U17" s="875"/>
      <c r="V17" s="16"/>
      <c r="W17" s="875"/>
      <c r="X17" s="876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1"/>
      <c r="AJ17" s="761"/>
      <c r="AK17" s="761"/>
      <c r="AL17" s="762"/>
    </row>
    <row r="18" spans="2:38" s="6" customFormat="1" ht="19.899999999999999" customHeight="1">
      <c r="B18" s="705"/>
      <c r="C18" s="900"/>
      <c r="D18" s="901"/>
      <c r="E18" s="901"/>
      <c r="F18" s="904"/>
      <c r="G18" s="904"/>
      <c r="H18" s="904"/>
      <c r="I18" s="904"/>
      <c r="J18" s="904"/>
      <c r="K18" s="904"/>
      <c r="L18" s="904"/>
      <c r="M18" s="875"/>
      <c r="N18" s="875"/>
      <c r="O18" s="875"/>
      <c r="P18" s="875"/>
      <c r="Q18" s="875"/>
      <c r="R18" s="875"/>
      <c r="S18" s="875" t="s">
        <v>65</v>
      </c>
      <c r="T18" s="875"/>
      <c r="U18" s="875"/>
      <c r="V18" s="16"/>
      <c r="W18" s="875"/>
      <c r="X18" s="876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1"/>
      <c r="AJ18" s="761"/>
      <c r="AK18" s="761"/>
      <c r="AL18" s="762"/>
    </row>
    <row r="19" spans="2:38" s="6" customFormat="1" ht="19.899999999999999" customHeight="1">
      <c r="B19" s="705"/>
      <c r="C19" s="900"/>
      <c r="D19" s="901"/>
      <c r="E19" s="901"/>
      <c r="F19" s="904"/>
      <c r="G19" s="904"/>
      <c r="H19" s="904"/>
      <c r="I19" s="904"/>
      <c r="J19" s="904"/>
      <c r="K19" s="904"/>
      <c r="L19" s="904"/>
      <c r="M19" s="875"/>
      <c r="N19" s="875"/>
      <c r="O19" s="875"/>
      <c r="P19" s="875"/>
      <c r="Q19" s="875"/>
      <c r="R19" s="875"/>
      <c r="S19" s="875" t="s">
        <v>65</v>
      </c>
      <c r="T19" s="875"/>
      <c r="U19" s="875"/>
      <c r="V19" s="16"/>
      <c r="W19" s="875"/>
      <c r="X19" s="876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1"/>
      <c r="AJ19" s="761"/>
      <c r="AK19" s="761"/>
      <c r="AL19" s="762"/>
    </row>
    <row r="20" spans="2:38" s="6" customFormat="1" ht="19.899999999999999" customHeight="1">
      <c r="B20" s="705"/>
      <c r="C20" s="900"/>
      <c r="D20" s="901"/>
      <c r="E20" s="901"/>
      <c r="F20" s="904"/>
      <c r="G20" s="904"/>
      <c r="H20" s="904"/>
      <c r="I20" s="904"/>
      <c r="J20" s="904"/>
      <c r="K20" s="904"/>
      <c r="L20" s="904"/>
      <c r="M20" s="875"/>
      <c r="N20" s="875"/>
      <c r="O20" s="875"/>
      <c r="P20" s="875"/>
      <c r="Q20" s="875"/>
      <c r="R20" s="875"/>
      <c r="S20" s="875" t="s">
        <v>65</v>
      </c>
      <c r="T20" s="875"/>
      <c r="U20" s="875"/>
      <c r="V20" s="16"/>
      <c r="W20" s="875"/>
      <c r="X20" s="876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1"/>
      <c r="AJ20" s="761"/>
      <c r="AK20" s="761"/>
      <c r="AL20" s="762"/>
    </row>
    <row r="21" spans="2:38" s="6" customFormat="1" ht="19.899999999999999" customHeight="1">
      <c r="B21" s="705"/>
      <c r="C21" s="900"/>
      <c r="D21" s="901"/>
      <c r="E21" s="901"/>
      <c r="F21" s="904"/>
      <c r="G21" s="904"/>
      <c r="H21" s="904"/>
      <c r="I21" s="904"/>
      <c r="J21" s="904"/>
      <c r="K21" s="904"/>
      <c r="L21" s="904"/>
      <c r="M21" s="875"/>
      <c r="N21" s="875"/>
      <c r="O21" s="875"/>
      <c r="P21" s="875"/>
      <c r="Q21" s="875"/>
      <c r="R21" s="875"/>
      <c r="S21" s="875" t="s">
        <v>65</v>
      </c>
      <c r="T21" s="875"/>
      <c r="U21" s="875"/>
      <c r="V21" s="16"/>
      <c r="W21" s="875"/>
      <c r="X21" s="876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1"/>
      <c r="AJ21" s="761"/>
      <c r="AK21" s="761"/>
      <c r="AL21" s="762"/>
    </row>
    <row r="22" spans="2:38" s="6" customFormat="1" ht="19.899999999999999" customHeight="1">
      <c r="B22" s="705"/>
      <c r="C22" s="900"/>
      <c r="D22" s="901"/>
      <c r="E22" s="901"/>
      <c r="F22" s="904"/>
      <c r="G22" s="904"/>
      <c r="H22" s="904"/>
      <c r="I22" s="904"/>
      <c r="J22" s="904"/>
      <c r="K22" s="904"/>
      <c r="L22" s="904"/>
      <c r="M22" s="875"/>
      <c r="N22" s="875"/>
      <c r="O22" s="875"/>
      <c r="P22" s="875"/>
      <c r="Q22" s="875"/>
      <c r="R22" s="875"/>
      <c r="S22" s="875" t="s">
        <v>65</v>
      </c>
      <c r="T22" s="875"/>
      <c r="U22" s="875"/>
      <c r="V22" s="16"/>
      <c r="W22" s="875"/>
      <c r="X22" s="876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1"/>
      <c r="AJ22" s="761"/>
      <c r="AK22" s="761"/>
      <c r="AL22" s="762"/>
    </row>
    <row r="23" spans="2:38" s="6" customFormat="1" ht="19.899999999999999" customHeight="1">
      <c r="B23" s="705"/>
      <c r="C23" s="900"/>
      <c r="D23" s="901"/>
      <c r="E23" s="901"/>
      <c r="F23" s="904"/>
      <c r="G23" s="904"/>
      <c r="H23" s="904"/>
      <c r="I23" s="904"/>
      <c r="J23" s="904"/>
      <c r="K23" s="904"/>
      <c r="L23" s="904"/>
      <c r="M23" s="875"/>
      <c r="N23" s="875"/>
      <c r="O23" s="875"/>
      <c r="P23" s="875"/>
      <c r="Q23" s="875"/>
      <c r="R23" s="875"/>
      <c r="S23" s="875" t="s">
        <v>65</v>
      </c>
      <c r="T23" s="875"/>
      <c r="U23" s="875"/>
      <c r="V23" s="16"/>
      <c r="W23" s="875"/>
      <c r="X23" s="876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1"/>
      <c r="AJ23" s="761"/>
      <c r="AK23" s="761"/>
      <c r="AL23" s="762"/>
    </row>
    <row r="24" spans="2:38" s="6" customFormat="1" ht="19.899999999999999" customHeight="1" thickBot="1">
      <c r="B24" s="706"/>
      <c r="C24" s="930"/>
      <c r="D24" s="931"/>
      <c r="E24" s="931"/>
      <c r="F24" s="932"/>
      <c r="G24" s="932"/>
      <c r="H24" s="932"/>
      <c r="I24" s="932"/>
      <c r="J24" s="932"/>
      <c r="K24" s="932"/>
      <c r="L24" s="932"/>
      <c r="M24" s="933"/>
      <c r="N24" s="933"/>
      <c r="O24" s="933"/>
      <c r="P24" s="933"/>
      <c r="Q24" s="933"/>
      <c r="R24" s="933"/>
      <c r="S24" s="933" t="s">
        <v>65</v>
      </c>
      <c r="T24" s="933"/>
      <c r="U24" s="933"/>
      <c r="V24" s="78"/>
      <c r="W24" s="933"/>
      <c r="X24" s="934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6"/>
      <c r="AJ24" s="766"/>
      <c r="AK24" s="766"/>
      <c r="AL24" s="767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716" t="s">
        <v>542</v>
      </c>
      <c r="AD25" s="717"/>
      <c r="AE25" s="717"/>
      <c r="AF25" s="755"/>
      <c r="AG25" s="961" t="s">
        <v>45</v>
      </c>
      <c r="AH25" s="890"/>
      <c r="AI25" s="890"/>
      <c r="AJ25" s="890"/>
      <c r="AK25" s="890"/>
      <c r="AL25" s="962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7" t="s">
        <v>32</v>
      </c>
      <c r="AB26" s="938"/>
      <c r="AC26" s="938"/>
      <c r="AD26" s="938"/>
      <c r="AE26" s="938"/>
      <c r="AF26" s="939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0"/>
      <c r="AB27" s="941"/>
      <c r="AC27" s="941"/>
      <c r="AD27" s="941"/>
      <c r="AE27" s="941"/>
      <c r="AF27" s="942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5"/>
      <c r="AC36" s="935"/>
      <c r="AD36" s="935"/>
      <c r="AE36" s="935"/>
      <c r="AF36" s="936"/>
      <c r="AG36" s="935" t="s">
        <v>31</v>
      </c>
      <c r="AH36" s="935"/>
      <c r="AI36" s="935"/>
      <c r="AJ36" s="935"/>
      <c r="AK36" s="935"/>
      <c r="AL36" s="936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3" t="s">
        <v>533</v>
      </c>
      <c r="AB38" s="833"/>
      <c r="AC38" s="833"/>
      <c r="AD38" s="833"/>
      <c r="AE38" s="833"/>
      <c r="AF38" s="833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0" t="s">
        <v>15</v>
      </c>
      <c r="AG1" s="770"/>
      <c r="AH1" s="770"/>
      <c r="AI1" s="770"/>
      <c r="AJ1" s="905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6" t="s">
        <v>465</v>
      </c>
      <c r="Q4" s="906"/>
      <c r="R4" s="906"/>
      <c r="S4" s="906"/>
      <c r="T4" s="906"/>
      <c r="U4" s="906"/>
      <c r="V4" s="906"/>
      <c r="W4" s="906"/>
      <c r="X4" s="906"/>
      <c r="Y4" s="906"/>
      <c r="Z4" s="906"/>
      <c r="AA4" s="906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968" t="s">
        <v>0</v>
      </c>
      <c r="D7" s="969"/>
      <c r="E7" s="969"/>
      <c r="F7" s="984"/>
      <c r="G7" s="985"/>
      <c r="H7" s="985"/>
      <c r="I7" s="985"/>
      <c r="J7" s="985"/>
      <c r="K7" s="985"/>
      <c r="L7" s="985"/>
      <c r="M7" s="985"/>
      <c r="N7" s="985"/>
      <c r="O7" s="985"/>
      <c r="P7" s="985"/>
      <c r="Q7" s="985"/>
      <c r="R7" s="985"/>
      <c r="S7" s="985"/>
      <c r="T7" s="985"/>
      <c r="U7" s="986"/>
      <c r="V7" s="881" t="s">
        <v>544</v>
      </c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3"/>
      <c r="AI7" s="980" t="s">
        <v>48</v>
      </c>
      <c r="AJ7" s="775"/>
      <c r="AK7" s="775"/>
      <c r="AL7" s="776"/>
    </row>
    <row r="8" spans="2:42" s="2" customFormat="1" ht="34.9" customHeight="1" thickBot="1">
      <c r="B8" s="705"/>
      <c r="C8" s="33" t="s">
        <v>1</v>
      </c>
      <c r="D8" s="33"/>
      <c r="E8" s="33"/>
      <c r="F8" s="888"/>
      <c r="G8" s="888"/>
      <c r="H8" s="888"/>
      <c r="I8" s="888"/>
      <c r="J8" s="888"/>
      <c r="K8" s="888"/>
      <c r="L8" s="5" t="s">
        <v>20</v>
      </c>
      <c r="M8" s="33"/>
      <c r="N8" s="33"/>
      <c r="O8" s="909"/>
      <c r="P8" s="909"/>
      <c r="Q8" s="909"/>
      <c r="R8" s="909"/>
      <c r="S8" s="909"/>
      <c r="T8" s="909"/>
      <c r="U8" s="983"/>
      <c r="V8" s="1005" t="s">
        <v>537</v>
      </c>
      <c r="W8" s="912"/>
      <c r="X8" s="913"/>
      <c r="Y8" s="106"/>
      <c r="Z8" s="1006" t="s">
        <v>85</v>
      </c>
      <c r="AA8" s="1006"/>
      <c r="AB8" s="1006"/>
      <c r="AC8" s="1006"/>
      <c r="AD8" s="1006"/>
      <c r="AE8" s="1006"/>
      <c r="AF8" s="1006"/>
      <c r="AG8" s="1006"/>
      <c r="AH8" s="106"/>
      <c r="AI8" s="777"/>
      <c r="AJ8" s="777"/>
      <c r="AK8" s="777"/>
      <c r="AL8" s="778"/>
    </row>
    <row r="9" spans="2:42" s="2" customFormat="1" ht="40.15" customHeight="1">
      <c r="B9" s="705"/>
      <c r="C9" s="899" t="s">
        <v>37</v>
      </c>
      <c r="D9" s="899"/>
      <c r="E9" s="899"/>
      <c r="F9" s="888"/>
      <c r="G9" s="888"/>
      <c r="H9" s="888"/>
      <c r="I9" s="888"/>
      <c r="J9" s="888"/>
      <c r="K9" s="888"/>
      <c r="L9" s="914" t="s">
        <v>38</v>
      </c>
      <c r="M9" s="981"/>
      <c r="N9" s="981"/>
      <c r="O9" s="909"/>
      <c r="P9" s="909"/>
      <c r="Q9" s="909"/>
      <c r="R9" s="909"/>
      <c r="S9" s="909"/>
      <c r="T9" s="909"/>
      <c r="U9" s="983"/>
      <c r="V9" s="915" t="s">
        <v>58</v>
      </c>
      <c r="W9" s="987"/>
      <c r="X9" s="988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18"/>
      <c r="H10" s="918"/>
      <c r="I10" s="918"/>
      <c r="J10" s="918"/>
      <c r="K10" s="918"/>
      <c r="L10" s="34" t="s">
        <v>28</v>
      </c>
      <c r="M10" s="34"/>
      <c r="N10" s="918"/>
      <c r="O10" s="918"/>
      <c r="P10" s="918"/>
      <c r="Q10" s="918"/>
      <c r="R10" s="918"/>
      <c r="S10" s="918"/>
      <c r="T10" s="918"/>
      <c r="U10" s="978"/>
      <c r="V10" s="846"/>
      <c r="W10" s="925" t="s">
        <v>35</v>
      </c>
      <c r="X10" s="926"/>
      <c r="Y10" s="1013" t="s">
        <v>481</v>
      </c>
      <c r="Z10" s="869" t="s">
        <v>482</v>
      </c>
      <c r="AA10" s="869" t="s">
        <v>483</v>
      </c>
      <c r="AB10" s="869" t="s">
        <v>484</v>
      </c>
      <c r="AC10" s="869" t="s">
        <v>475</v>
      </c>
      <c r="AD10" s="869" t="s">
        <v>485</v>
      </c>
      <c r="AE10" s="869" t="s">
        <v>486</v>
      </c>
      <c r="AF10" s="869"/>
      <c r="AG10" s="1007"/>
      <c r="AH10" s="1010"/>
      <c r="AI10" s="39"/>
      <c r="AJ10" s="39"/>
      <c r="AK10" s="39"/>
      <c r="AL10" s="40"/>
      <c r="AP10" s="29"/>
    </row>
    <row r="11" spans="2:42" s="2" customFormat="1" ht="18" customHeight="1">
      <c r="B11" s="705"/>
      <c r="C11" s="831"/>
      <c r="D11" s="831"/>
      <c r="E11" s="831"/>
      <c r="F11" s="831"/>
      <c r="G11" s="831"/>
      <c r="H11" s="831"/>
      <c r="I11" s="831"/>
      <c r="J11" s="831"/>
      <c r="K11" s="831"/>
      <c r="L11" s="919"/>
      <c r="M11" s="919"/>
      <c r="N11" s="919"/>
      <c r="O11" s="919"/>
      <c r="P11" s="919"/>
      <c r="Q11" s="919"/>
      <c r="R11" s="919"/>
      <c r="S11" s="919"/>
      <c r="T11" s="919"/>
      <c r="U11" s="979"/>
      <c r="V11" s="846"/>
      <c r="W11" s="865" t="s">
        <v>22</v>
      </c>
      <c r="X11" s="866"/>
      <c r="Y11" s="1014"/>
      <c r="Z11" s="870"/>
      <c r="AA11" s="870"/>
      <c r="AB11" s="870"/>
      <c r="AC11" s="870"/>
      <c r="AD11" s="870"/>
      <c r="AE11" s="870"/>
      <c r="AF11" s="870"/>
      <c r="AG11" s="1008"/>
      <c r="AH11" s="1011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18"/>
      <c r="H12" s="918"/>
      <c r="I12" s="918"/>
      <c r="J12" s="918"/>
      <c r="K12" s="918"/>
      <c r="L12" s="34" t="s">
        <v>4</v>
      </c>
      <c r="M12" s="34"/>
      <c r="N12" s="34"/>
      <c r="O12" s="918"/>
      <c r="P12" s="918"/>
      <c r="Q12" s="918"/>
      <c r="R12" s="918"/>
      <c r="S12" s="918"/>
      <c r="T12" s="918"/>
      <c r="U12" s="978"/>
      <c r="V12" s="846"/>
      <c r="W12" s="865" t="s">
        <v>23</v>
      </c>
      <c r="X12" s="866"/>
      <c r="Y12" s="1014"/>
      <c r="Z12" s="870"/>
      <c r="AA12" s="870"/>
      <c r="AB12" s="870"/>
      <c r="AC12" s="870"/>
      <c r="AD12" s="870"/>
      <c r="AE12" s="870"/>
      <c r="AF12" s="870"/>
      <c r="AG12" s="1008"/>
      <c r="AH12" s="1011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2"/>
      <c r="D13" s="982"/>
      <c r="E13" s="982"/>
      <c r="F13" s="982"/>
      <c r="G13" s="982"/>
      <c r="H13" s="982"/>
      <c r="I13" s="982"/>
      <c r="J13" s="982"/>
      <c r="K13" s="982"/>
      <c r="L13" s="35" t="s">
        <v>29</v>
      </c>
      <c r="M13" s="35"/>
      <c r="N13" s="989"/>
      <c r="O13" s="989"/>
      <c r="P13" s="989"/>
      <c r="Q13" s="989"/>
      <c r="R13" s="989"/>
      <c r="S13" s="989"/>
      <c r="T13" s="989"/>
      <c r="U13" s="990"/>
      <c r="V13" s="846"/>
      <c r="W13" s="877" t="s">
        <v>39</v>
      </c>
      <c r="X13" s="878"/>
      <c r="Y13" s="1014"/>
      <c r="Z13" s="870"/>
      <c r="AA13" s="870"/>
      <c r="AB13" s="870"/>
      <c r="AC13" s="870"/>
      <c r="AD13" s="870"/>
      <c r="AE13" s="870"/>
      <c r="AF13" s="870"/>
      <c r="AG13" s="1008"/>
      <c r="AH13" s="1011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1" t="s">
        <v>34</v>
      </c>
      <c r="D14" s="992"/>
      <c r="E14" s="992"/>
      <c r="F14" s="971" t="s">
        <v>5</v>
      </c>
      <c r="G14" s="971"/>
      <c r="H14" s="971"/>
      <c r="I14" s="971"/>
      <c r="J14" s="971"/>
      <c r="K14" s="971"/>
      <c r="L14" s="971"/>
      <c r="M14" s="970" t="s">
        <v>56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79"/>
      <c r="X14" s="880"/>
      <c r="Y14" s="1015"/>
      <c r="Z14" s="871"/>
      <c r="AA14" s="871"/>
      <c r="AB14" s="871"/>
      <c r="AC14" s="871"/>
      <c r="AD14" s="871"/>
      <c r="AE14" s="871"/>
      <c r="AF14" s="871"/>
      <c r="AG14" s="1009"/>
      <c r="AH14" s="1012"/>
      <c r="AI14" s="758" t="s">
        <v>40</v>
      </c>
      <c r="AJ14" s="759"/>
      <c r="AK14" s="759"/>
      <c r="AL14" s="760"/>
    </row>
    <row r="15" spans="2:42" s="17" customFormat="1" ht="19.899999999999999" customHeight="1">
      <c r="B15" s="705"/>
      <c r="C15" s="900"/>
      <c r="D15" s="901"/>
      <c r="E15" s="901"/>
      <c r="F15" s="904"/>
      <c r="G15" s="904"/>
      <c r="H15" s="904"/>
      <c r="I15" s="904"/>
      <c r="J15" s="904"/>
      <c r="K15" s="904"/>
      <c r="L15" s="904"/>
      <c r="M15" s="875"/>
      <c r="N15" s="875"/>
      <c r="O15" s="875"/>
      <c r="P15" s="875"/>
      <c r="Q15" s="875"/>
      <c r="R15" s="875"/>
      <c r="S15" s="875"/>
      <c r="T15" s="875"/>
      <c r="U15" s="875"/>
      <c r="V15" s="16"/>
      <c r="W15" s="875"/>
      <c r="X15" s="876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1"/>
      <c r="AJ15" s="761"/>
      <c r="AK15" s="761"/>
      <c r="AL15" s="762"/>
    </row>
    <row r="16" spans="2:42" s="17" customFormat="1" ht="19.899999999999999" customHeight="1">
      <c r="B16" s="705"/>
      <c r="C16" s="900"/>
      <c r="D16" s="901"/>
      <c r="E16" s="901"/>
      <c r="F16" s="927"/>
      <c r="G16" s="928"/>
      <c r="H16" s="928"/>
      <c r="I16" s="928"/>
      <c r="J16" s="928"/>
      <c r="K16" s="928"/>
      <c r="L16" s="929"/>
      <c r="M16" s="875"/>
      <c r="N16" s="875"/>
      <c r="O16" s="875"/>
      <c r="P16" s="875"/>
      <c r="Q16" s="875"/>
      <c r="R16" s="875"/>
      <c r="S16" s="875"/>
      <c r="T16" s="875"/>
      <c r="U16" s="875"/>
      <c r="V16" s="16"/>
      <c r="W16" s="875"/>
      <c r="X16" s="876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1"/>
      <c r="AJ16" s="761"/>
      <c r="AK16" s="761"/>
      <c r="AL16" s="762"/>
    </row>
    <row r="17" spans="2:38" s="6" customFormat="1" ht="19.899999999999999" customHeight="1">
      <c r="B17" s="705"/>
      <c r="C17" s="900"/>
      <c r="D17" s="901"/>
      <c r="E17" s="901"/>
      <c r="F17" s="904"/>
      <c r="G17" s="904"/>
      <c r="H17" s="904"/>
      <c r="I17" s="904"/>
      <c r="J17" s="904"/>
      <c r="K17" s="904"/>
      <c r="L17" s="904"/>
      <c r="M17" s="875"/>
      <c r="N17" s="875"/>
      <c r="O17" s="875"/>
      <c r="P17" s="875"/>
      <c r="Q17" s="875"/>
      <c r="R17" s="875"/>
      <c r="S17" s="875"/>
      <c r="T17" s="875"/>
      <c r="U17" s="875"/>
      <c r="V17" s="16"/>
      <c r="W17" s="875"/>
      <c r="X17" s="876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1"/>
      <c r="AJ17" s="761"/>
      <c r="AK17" s="761"/>
      <c r="AL17" s="762"/>
    </row>
    <row r="18" spans="2:38" s="6" customFormat="1" ht="19.899999999999999" customHeight="1">
      <c r="B18" s="705"/>
      <c r="C18" s="900"/>
      <c r="D18" s="901"/>
      <c r="E18" s="901"/>
      <c r="F18" s="904"/>
      <c r="G18" s="904"/>
      <c r="H18" s="904"/>
      <c r="I18" s="904"/>
      <c r="J18" s="904"/>
      <c r="K18" s="904"/>
      <c r="L18" s="904"/>
      <c r="M18" s="875"/>
      <c r="N18" s="875"/>
      <c r="O18" s="875"/>
      <c r="P18" s="875"/>
      <c r="Q18" s="875"/>
      <c r="R18" s="875"/>
      <c r="S18" s="875"/>
      <c r="T18" s="875"/>
      <c r="U18" s="875"/>
      <c r="V18" s="16"/>
      <c r="W18" s="875"/>
      <c r="X18" s="876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1"/>
      <c r="AJ18" s="761"/>
      <c r="AK18" s="761"/>
      <c r="AL18" s="762"/>
    </row>
    <row r="19" spans="2:38" s="6" customFormat="1" ht="19.899999999999999" customHeight="1">
      <c r="B19" s="705"/>
      <c r="C19" s="900"/>
      <c r="D19" s="901"/>
      <c r="E19" s="901"/>
      <c r="F19" s="904"/>
      <c r="G19" s="904"/>
      <c r="H19" s="904"/>
      <c r="I19" s="904"/>
      <c r="J19" s="904"/>
      <c r="K19" s="904"/>
      <c r="L19" s="904"/>
      <c r="M19" s="875"/>
      <c r="N19" s="875"/>
      <c r="O19" s="875"/>
      <c r="P19" s="875"/>
      <c r="Q19" s="875"/>
      <c r="R19" s="875"/>
      <c r="S19" s="875"/>
      <c r="T19" s="875"/>
      <c r="U19" s="875"/>
      <c r="V19" s="16"/>
      <c r="W19" s="875"/>
      <c r="X19" s="876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1"/>
      <c r="AJ19" s="761"/>
      <c r="AK19" s="761"/>
      <c r="AL19" s="762"/>
    </row>
    <row r="20" spans="2:38" s="6" customFormat="1" ht="19.899999999999999" customHeight="1">
      <c r="B20" s="705"/>
      <c r="C20" s="900"/>
      <c r="D20" s="901"/>
      <c r="E20" s="901"/>
      <c r="F20" s="904"/>
      <c r="G20" s="904"/>
      <c r="H20" s="904"/>
      <c r="I20" s="904"/>
      <c r="J20" s="904"/>
      <c r="K20" s="904"/>
      <c r="L20" s="904"/>
      <c r="M20" s="875"/>
      <c r="N20" s="875"/>
      <c r="O20" s="875"/>
      <c r="P20" s="875"/>
      <c r="Q20" s="875"/>
      <c r="R20" s="875"/>
      <c r="S20" s="875"/>
      <c r="T20" s="875"/>
      <c r="U20" s="875"/>
      <c r="V20" s="16"/>
      <c r="W20" s="875"/>
      <c r="X20" s="876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1"/>
      <c r="AJ20" s="761"/>
      <c r="AK20" s="761"/>
      <c r="AL20" s="762"/>
    </row>
    <row r="21" spans="2:38" s="6" customFormat="1" ht="19.899999999999999" customHeight="1">
      <c r="B21" s="705"/>
      <c r="C21" s="900"/>
      <c r="D21" s="901"/>
      <c r="E21" s="901"/>
      <c r="F21" s="904"/>
      <c r="G21" s="904"/>
      <c r="H21" s="904"/>
      <c r="I21" s="904"/>
      <c r="J21" s="904"/>
      <c r="K21" s="904"/>
      <c r="L21" s="904"/>
      <c r="M21" s="875"/>
      <c r="N21" s="875"/>
      <c r="O21" s="875"/>
      <c r="P21" s="875"/>
      <c r="Q21" s="875"/>
      <c r="R21" s="875"/>
      <c r="S21" s="875"/>
      <c r="T21" s="875"/>
      <c r="U21" s="875"/>
      <c r="V21" s="16"/>
      <c r="W21" s="875"/>
      <c r="X21" s="876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1"/>
      <c r="AJ21" s="761"/>
      <c r="AK21" s="761"/>
      <c r="AL21" s="762"/>
    </row>
    <row r="22" spans="2:38" s="6" customFormat="1" ht="19.899999999999999" customHeight="1">
      <c r="B22" s="705"/>
      <c r="C22" s="900"/>
      <c r="D22" s="901"/>
      <c r="E22" s="901"/>
      <c r="F22" s="904"/>
      <c r="G22" s="904"/>
      <c r="H22" s="904"/>
      <c r="I22" s="904"/>
      <c r="J22" s="904"/>
      <c r="K22" s="904"/>
      <c r="L22" s="904"/>
      <c r="M22" s="875"/>
      <c r="N22" s="875"/>
      <c r="O22" s="875"/>
      <c r="P22" s="875"/>
      <c r="Q22" s="875"/>
      <c r="R22" s="875"/>
      <c r="S22" s="875"/>
      <c r="T22" s="875"/>
      <c r="U22" s="875"/>
      <c r="V22" s="16"/>
      <c r="W22" s="875"/>
      <c r="X22" s="876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1"/>
      <c r="AJ22" s="761"/>
      <c r="AK22" s="761"/>
      <c r="AL22" s="762"/>
    </row>
    <row r="23" spans="2:38" s="6" customFormat="1" ht="19.899999999999999" customHeight="1">
      <c r="B23" s="705"/>
      <c r="C23" s="900"/>
      <c r="D23" s="901"/>
      <c r="E23" s="901"/>
      <c r="F23" s="904"/>
      <c r="G23" s="904"/>
      <c r="H23" s="904"/>
      <c r="I23" s="904"/>
      <c r="J23" s="904"/>
      <c r="K23" s="904"/>
      <c r="L23" s="904"/>
      <c r="M23" s="875"/>
      <c r="N23" s="875"/>
      <c r="O23" s="875"/>
      <c r="P23" s="875"/>
      <c r="Q23" s="875"/>
      <c r="R23" s="875"/>
      <c r="S23" s="875"/>
      <c r="T23" s="875"/>
      <c r="U23" s="875"/>
      <c r="V23" s="16"/>
      <c r="W23" s="875"/>
      <c r="X23" s="876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1"/>
      <c r="AJ23" s="761"/>
      <c r="AK23" s="761"/>
      <c r="AL23" s="762"/>
    </row>
    <row r="24" spans="2:38" s="6" customFormat="1" ht="19.899999999999999" customHeight="1" thickBot="1">
      <c r="B24" s="706"/>
      <c r="C24" s="930"/>
      <c r="D24" s="931"/>
      <c r="E24" s="931"/>
      <c r="F24" s="932"/>
      <c r="G24" s="932"/>
      <c r="H24" s="932"/>
      <c r="I24" s="932"/>
      <c r="J24" s="932"/>
      <c r="K24" s="932"/>
      <c r="L24" s="932"/>
      <c r="M24" s="933"/>
      <c r="N24" s="933"/>
      <c r="O24" s="933"/>
      <c r="P24" s="933"/>
      <c r="Q24" s="933"/>
      <c r="R24" s="933"/>
      <c r="S24" s="933"/>
      <c r="T24" s="933"/>
      <c r="U24" s="933"/>
      <c r="V24" s="78"/>
      <c r="W24" s="933"/>
      <c r="X24" s="934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6"/>
      <c r="AJ24" s="766"/>
      <c r="AK24" s="766"/>
      <c r="AL24" s="767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961" t="s">
        <v>542</v>
      </c>
      <c r="AD25" s="890"/>
      <c r="AE25" s="890"/>
      <c r="AF25" s="891"/>
      <c r="AG25" s="961" t="s">
        <v>45</v>
      </c>
      <c r="AH25" s="890"/>
      <c r="AI25" s="890"/>
      <c r="AJ25" s="890"/>
      <c r="AK25" s="890"/>
      <c r="AL25" s="962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6" t="s">
        <v>32</v>
      </c>
      <c r="AB26" s="997"/>
      <c r="AC26" s="997"/>
      <c r="AD26" s="997"/>
      <c r="AE26" s="997"/>
      <c r="AF26" s="998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9"/>
      <c r="AB27" s="1000"/>
      <c r="AC27" s="1000"/>
      <c r="AD27" s="1000"/>
      <c r="AE27" s="1000"/>
      <c r="AF27" s="1001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5"/>
      <c r="AC36" s="935"/>
      <c r="AD36" s="935"/>
      <c r="AE36" s="935"/>
      <c r="AF36" s="936"/>
      <c r="AG36" s="935" t="s">
        <v>31</v>
      </c>
      <c r="AH36" s="935"/>
      <c r="AI36" s="935"/>
      <c r="AJ36" s="935"/>
      <c r="AK36" s="935"/>
      <c r="AL36" s="936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3" t="s">
        <v>533</v>
      </c>
      <c r="AB38" s="833"/>
      <c r="AC38" s="833"/>
      <c r="AD38" s="833"/>
      <c r="AE38" s="833"/>
      <c r="AF38" s="833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0" t="s">
        <v>15</v>
      </c>
      <c r="AG1" s="770"/>
      <c r="AH1" s="770"/>
      <c r="AI1" s="770"/>
      <c r="AJ1" s="905"/>
    </row>
    <row r="2" spans="2:42" s="8" customFormat="1" ht="15" customHeight="1">
      <c r="K2" s="11"/>
      <c r="L2" s="11"/>
      <c r="M2" s="11"/>
      <c r="N2" s="11"/>
      <c r="O2" s="11"/>
      <c r="P2" s="794" t="s">
        <v>30</v>
      </c>
      <c r="Q2" s="794"/>
      <c r="R2" s="794"/>
      <c r="S2" s="794"/>
      <c r="T2" s="794"/>
      <c r="U2" s="794"/>
      <c r="V2" s="794"/>
      <c r="W2" s="794"/>
      <c r="X2" s="794"/>
      <c r="Y2" s="794"/>
      <c r="Z2" s="794"/>
      <c r="AA2" s="794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4" t="s">
        <v>14</v>
      </c>
      <c r="Q3" s="794"/>
      <c r="R3" s="794"/>
      <c r="S3" s="794"/>
      <c r="T3" s="794"/>
      <c r="U3" s="794"/>
      <c r="V3" s="794"/>
      <c r="W3" s="794"/>
      <c r="X3" s="794"/>
      <c r="Y3" s="794"/>
      <c r="Z3" s="794"/>
      <c r="AA3" s="794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6" t="s">
        <v>466</v>
      </c>
      <c r="Q4" s="906"/>
      <c r="R4" s="906"/>
      <c r="S4" s="906"/>
      <c r="T4" s="906"/>
      <c r="U4" s="906"/>
      <c r="V4" s="906"/>
      <c r="W4" s="906"/>
      <c r="X4" s="906"/>
      <c r="Y4" s="906"/>
      <c r="Z4" s="906"/>
      <c r="AA4" s="906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2" t="s">
        <v>24</v>
      </c>
      <c r="AG6" s="772"/>
      <c r="AH6" s="772"/>
      <c r="AI6" s="773"/>
      <c r="AJ6" s="773"/>
      <c r="AK6" s="773"/>
      <c r="AL6" s="15"/>
    </row>
    <row r="7" spans="2:42" s="2" customFormat="1" ht="34.9" customHeight="1" thickTop="1" thickBot="1">
      <c r="B7" s="707" t="s">
        <v>535</v>
      </c>
      <c r="C7" s="32" t="s">
        <v>0</v>
      </c>
      <c r="D7" s="32"/>
      <c r="E7" s="7"/>
      <c r="F7" s="1017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881" t="s">
        <v>544</v>
      </c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3"/>
      <c r="AI7" s="860" t="s">
        <v>48</v>
      </c>
      <c r="AJ7" s="861"/>
      <c r="AK7" s="861"/>
      <c r="AL7" s="862"/>
    </row>
    <row r="8" spans="2:42" s="2" customFormat="1" ht="36" customHeight="1" thickBot="1">
      <c r="B8" s="705"/>
      <c r="C8" s="33" t="s">
        <v>1</v>
      </c>
      <c r="D8" s="33"/>
      <c r="E8" s="33"/>
      <c r="F8" s="888"/>
      <c r="G8" s="888"/>
      <c r="H8" s="888"/>
      <c r="I8" s="888"/>
      <c r="J8" s="888"/>
      <c r="K8" s="888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66" t="s">
        <v>537</v>
      </c>
      <c r="W8" s="967"/>
      <c r="X8" s="1016"/>
      <c r="Y8" s="107"/>
      <c r="Z8" s="1006" t="s">
        <v>85</v>
      </c>
      <c r="AA8" s="1006"/>
      <c r="AB8" s="1006"/>
      <c r="AC8" s="1006"/>
      <c r="AD8" s="1006"/>
      <c r="AE8" s="1006"/>
      <c r="AF8" s="1006"/>
      <c r="AG8" s="1006"/>
      <c r="AH8" s="107"/>
      <c r="AI8" s="863"/>
      <c r="AJ8" s="863"/>
      <c r="AK8" s="863"/>
      <c r="AL8" s="864"/>
    </row>
    <row r="9" spans="2:42" s="2" customFormat="1" ht="40.15" customHeight="1">
      <c r="B9" s="705"/>
      <c r="C9" s="899" t="s">
        <v>37</v>
      </c>
      <c r="D9" s="899"/>
      <c r="E9" s="899"/>
      <c r="F9" s="5"/>
      <c r="G9" s="88"/>
      <c r="H9" s="88"/>
      <c r="I9" s="88"/>
      <c r="J9" s="88"/>
      <c r="K9" s="88"/>
      <c r="L9" s="914" t="s">
        <v>38</v>
      </c>
      <c r="M9" s="981"/>
      <c r="N9" s="981"/>
      <c r="O9" s="88"/>
      <c r="P9" s="88"/>
      <c r="Q9" s="88"/>
      <c r="R9" s="88"/>
      <c r="S9" s="88"/>
      <c r="T9" s="88"/>
      <c r="U9" s="89"/>
      <c r="V9" s="915" t="s">
        <v>58</v>
      </c>
      <c r="W9" s="987"/>
      <c r="X9" s="988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846"/>
      <c r="W10" s="925" t="s">
        <v>35</v>
      </c>
      <c r="X10" s="926"/>
      <c r="Y10" s="892" t="s">
        <v>487</v>
      </c>
      <c r="Z10" s="869" t="s">
        <v>488</v>
      </c>
      <c r="AA10" s="869" t="s">
        <v>489</v>
      </c>
      <c r="AB10" s="869" t="s">
        <v>55</v>
      </c>
      <c r="AC10" s="869" t="s">
        <v>490</v>
      </c>
      <c r="AD10" s="869" t="s">
        <v>54</v>
      </c>
      <c r="AE10" s="869" t="s">
        <v>491</v>
      </c>
      <c r="AF10" s="869"/>
      <c r="AG10" s="1007"/>
      <c r="AH10" s="1010"/>
      <c r="AI10" s="39"/>
      <c r="AJ10" s="39"/>
      <c r="AK10" s="39"/>
      <c r="AL10" s="40"/>
      <c r="AP10" s="29"/>
    </row>
    <row r="11" spans="2:42" s="2" customFormat="1" ht="18" customHeight="1">
      <c r="B11" s="705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846"/>
      <c r="W11" s="865" t="s">
        <v>22</v>
      </c>
      <c r="X11" s="866"/>
      <c r="Y11" s="893"/>
      <c r="Z11" s="870"/>
      <c r="AA11" s="870"/>
      <c r="AB11" s="870"/>
      <c r="AC11" s="870"/>
      <c r="AD11" s="870"/>
      <c r="AE11" s="870"/>
      <c r="AF11" s="870"/>
      <c r="AG11" s="1008"/>
      <c r="AH11" s="1011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846"/>
      <c r="W12" s="865" t="s">
        <v>23</v>
      </c>
      <c r="X12" s="866"/>
      <c r="Y12" s="893"/>
      <c r="Z12" s="870"/>
      <c r="AA12" s="870"/>
      <c r="AB12" s="870"/>
      <c r="AC12" s="870"/>
      <c r="AD12" s="870"/>
      <c r="AE12" s="870"/>
      <c r="AF12" s="870"/>
      <c r="AG12" s="1008"/>
      <c r="AH12" s="1011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846"/>
      <c r="W13" s="877"/>
      <c r="X13" s="878"/>
      <c r="Y13" s="893"/>
      <c r="Z13" s="870"/>
      <c r="AA13" s="870"/>
      <c r="AB13" s="870"/>
      <c r="AC13" s="870"/>
      <c r="AD13" s="870"/>
      <c r="AE13" s="870"/>
      <c r="AF13" s="870"/>
      <c r="AG13" s="1008"/>
      <c r="AH13" s="1011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1" t="s">
        <v>34</v>
      </c>
      <c r="D14" s="992"/>
      <c r="E14" s="992"/>
      <c r="F14" s="971" t="s">
        <v>5</v>
      </c>
      <c r="G14" s="971"/>
      <c r="H14" s="971"/>
      <c r="I14" s="971"/>
      <c r="J14" s="971"/>
      <c r="K14" s="971"/>
      <c r="L14" s="971"/>
      <c r="M14" s="970" t="s">
        <v>56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79"/>
      <c r="X14" s="880"/>
      <c r="Y14" s="894"/>
      <c r="Z14" s="871"/>
      <c r="AA14" s="871"/>
      <c r="AB14" s="871"/>
      <c r="AC14" s="871"/>
      <c r="AD14" s="871"/>
      <c r="AE14" s="871"/>
      <c r="AF14" s="871"/>
      <c r="AG14" s="1009"/>
      <c r="AH14" s="1012"/>
      <c r="AI14" s="758" t="s">
        <v>40</v>
      </c>
      <c r="AJ14" s="759"/>
      <c r="AK14" s="759"/>
      <c r="AL14" s="760"/>
    </row>
    <row r="15" spans="2:42" s="17" customFormat="1" ht="19.899999999999999" customHeight="1">
      <c r="B15" s="705"/>
      <c r="C15" s="900"/>
      <c r="D15" s="901"/>
      <c r="E15" s="901"/>
      <c r="F15" s="904"/>
      <c r="G15" s="904"/>
      <c r="H15" s="904"/>
      <c r="I15" s="904"/>
      <c r="J15" s="904"/>
      <c r="K15" s="904"/>
      <c r="L15" s="904"/>
      <c r="M15" s="875"/>
      <c r="N15" s="875"/>
      <c r="O15" s="875"/>
      <c r="P15" s="875"/>
      <c r="Q15" s="875"/>
      <c r="R15" s="875"/>
      <c r="S15" s="875"/>
      <c r="T15" s="875"/>
      <c r="U15" s="875"/>
      <c r="V15" s="16"/>
      <c r="W15" s="875"/>
      <c r="X15" s="876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1"/>
      <c r="AJ15" s="761"/>
      <c r="AK15" s="761"/>
      <c r="AL15" s="762"/>
    </row>
    <row r="16" spans="2:42" s="17" customFormat="1" ht="19.899999999999999" customHeight="1">
      <c r="B16" s="705"/>
      <c r="C16" s="900"/>
      <c r="D16" s="901"/>
      <c r="E16" s="901"/>
      <c r="F16" s="927"/>
      <c r="G16" s="928"/>
      <c r="H16" s="928"/>
      <c r="I16" s="928"/>
      <c r="J16" s="928"/>
      <c r="K16" s="928"/>
      <c r="L16" s="929"/>
      <c r="M16" s="875"/>
      <c r="N16" s="875"/>
      <c r="O16" s="875"/>
      <c r="P16" s="875"/>
      <c r="Q16" s="875"/>
      <c r="R16" s="875"/>
      <c r="S16" s="875"/>
      <c r="T16" s="875"/>
      <c r="U16" s="875"/>
      <c r="V16" s="16"/>
      <c r="W16" s="875"/>
      <c r="X16" s="876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1"/>
      <c r="AJ16" s="761"/>
      <c r="AK16" s="761"/>
      <c r="AL16" s="762"/>
    </row>
    <row r="17" spans="2:38" s="6" customFormat="1" ht="19.899999999999999" customHeight="1">
      <c r="B17" s="705"/>
      <c r="C17" s="900"/>
      <c r="D17" s="901"/>
      <c r="E17" s="901"/>
      <c r="F17" s="904"/>
      <c r="G17" s="904"/>
      <c r="H17" s="904"/>
      <c r="I17" s="904"/>
      <c r="J17" s="904"/>
      <c r="K17" s="904"/>
      <c r="L17" s="904"/>
      <c r="M17" s="875"/>
      <c r="N17" s="875"/>
      <c r="O17" s="875"/>
      <c r="P17" s="875"/>
      <c r="Q17" s="875"/>
      <c r="R17" s="875"/>
      <c r="S17" s="875"/>
      <c r="T17" s="875"/>
      <c r="U17" s="875"/>
      <c r="V17" s="16"/>
      <c r="W17" s="875"/>
      <c r="X17" s="876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1"/>
      <c r="AJ17" s="761"/>
      <c r="AK17" s="761"/>
      <c r="AL17" s="762"/>
    </row>
    <row r="18" spans="2:38" s="6" customFormat="1" ht="19.899999999999999" customHeight="1">
      <c r="B18" s="705"/>
      <c r="C18" s="900"/>
      <c r="D18" s="901"/>
      <c r="E18" s="901"/>
      <c r="F18" s="904"/>
      <c r="G18" s="904"/>
      <c r="H18" s="904"/>
      <c r="I18" s="904"/>
      <c r="J18" s="904"/>
      <c r="K18" s="904"/>
      <c r="L18" s="904"/>
      <c r="M18" s="875"/>
      <c r="N18" s="875"/>
      <c r="O18" s="875"/>
      <c r="P18" s="875"/>
      <c r="Q18" s="875"/>
      <c r="R18" s="875"/>
      <c r="S18" s="875"/>
      <c r="T18" s="875"/>
      <c r="U18" s="875"/>
      <c r="V18" s="16"/>
      <c r="W18" s="875"/>
      <c r="X18" s="876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1"/>
      <c r="AJ18" s="761"/>
      <c r="AK18" s="761"/>
      <c r="AL18" s="762"/>
    </row>
    <row r="19" spans="2:38" s="6" customFormat="1" ht="19.899999999999999" customHeight="1">
      <c r="B19" s="705"/>
      <c r="C19" s="900"/>
      <c r="D19" s="901"/>
      <c r="E19" s="901"/>
      <c r="F19" s="904"/>
      <c r="G19" s="904"/>
      <c r="H19" s="904"/>
      <c r="I19" s="904"/>
      <c r="J19" s="904"/>
      <c r="K19" s="904"/>
      <c r="L19" s="904"/>
      <c r="M19" s="875"/>
      <c r="N19" s="875"/>
      <c r="O19" s="875"/>
      <c r="P19" s="875"/>
      <c r="Q19" s="875"/>
      <c r="R19" s="875"/>
      <c r="S19" s="875"/>
      <c r="T19" s="875"/>
      <c r="U19" s="875"/>
      <c r="V19" s="16"/>
      <c r="W19" s="875"/>
      <c r="X19" s="876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1"/>
      <c r="AJ19" s="761"/>
      <c r="AK19" s="761"/>
      <c r="AL19" s="762"/>
    </row>
    <row r="20" spans="2:38" s="6" customFormat="1" ht="19.899999999999999" customHeight="1">
      <c r="B20" s="705"/>
      <c r="C20" s="900"/>
      <c r="D20" s="901"/>
      <c r="E20" s="901"/>
      <c r="F20" s="904"/>
      <c r="G20" s="904"/>
      <c r="H20" s="904"/>
      <c r="I20" s="904"/>
      <c r="J20" s="904"/>
      <c r="K20" s="904"/>
      <c r="L20" s="904"/>
      <c r="M20" s="875"/>
      <c r="N20" s="875"/>
      <c r="O20" s="875"/>
      <c r="P20" s="875"/>
      <c r="Q20" s="875"/>
      <c r="R20" s="875"/>
      <c r="S20" s="875"/>
      <c r="T20" s="875"/>
      <c r="U20" s="875"/>
      <c r="V20" s="16"/>
      <c r="W20" s="875"/>
      <c r="X20" s="876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1"/>
      <c r="AJ20" s="761"/>
      <c r="AK20" s="761"/>
      <c r="AL20" s="762"/>
    </row>
    <row r="21" spans="2:38" s="6" customFormat="1" ht="19.899999999999999" customHeight="1">
      <c r="B21" s="705"/>
      <c r="C21" s="900"/>
      <c r="D21" s="901"/>
      <c r="E21" s="901"/>
      <c r="F21" s="904"/>
      <c r="G21" s="904"/>
      <c r="H21" s="904"/>
      <c r="I21" s="904"/>
      <c r="J21" s="904"/>
      <c r="K21" s="904"/>
      <c r="L21" s="904"/>
      <c r="M21" s="875"/>
      <c r="N21" s="875"/>
      <c r="O21" s="875"/>
      <c r="P21" s="875"/>
      <c r="Q21" s="875"/>
      <c r="R21" s="875"/>
      <c r="S21" s="875"/>
      <c r="T21" s="875"/>
      <c r="U21" s="875"/>
      <c r="V21" s="16"/>
      <c r="W21" s="875"/>
      <c r="X21" s="876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1"/>
      <c r="AJ21" s="761"/>
      <c r="AK21" s="761"/>
      <c r="AL21" s="762"/>
    </row>
    <row r="22" spans="2:38" s="6" customFormat="1" ht="19.899999999999999" customHeight="1">
      <c r="B22" s="705"/>
      <c r="C22" s="900"/>
      <c r="D22" s="901"/>
      <c r="E22" s="901"/>
      <c r="F22" s="904"/>
      <c r="G22" s="904"/>
      <c r="H22" s="904"/>
      <c r="I22" s="904"/>
      <c r="J22" s="904"/>
      <c r="K22" s="904"/>
      <c r="L22" s="904"/>
      <c r="M22" s="875"/>
      <c r="N22" s="875"/>
      <c r="O22" s="875"/>
      <c r="P22" s="875"/>
      <c r="Q22" s="875"/>
      <c r="R22" s="875"/>
      <c r="S22" s="875"/>
      <c r="T22" s="875"/>
      <c r="U22" s="875"/>
      <c r="V22" s="16"/>
      <c r="W22" s="875"/>
      <c r="X22" s="876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1"/>
      <c r="AJ22" s="761"/>
      <c r="AK22" s="761"/>
      <c r="AL22" s="762"/>
    </row>
    <row r="23" spans="2:38" s="6" customFormat="1" ht="19.899999999999999" customHeight="1">
      <c r="B23" s="705"/>
      <c r="C23" s="900"/>
      <c r="D23" s="901"/>
      <c r="E23" s="901"/>
      <c r="F23" s="904"/>
      <c r="G23" s="904"/>
      <c r="H23" s="904"/>
      <c r="I23" s="904"/>
      <c r="J23" s="904"/>
      <c r="K23" s="904"/>
      <c r="L23" s="904"/>
      <c r="M23" s="875"/>
      <c r="N23" s="875"/>
      <c r="O23" s="875"/>
      <c r="P23" s="875"/>
      <c r="Q23" s="875"/>
      <c r="R23" s="875"/>
      <c r="S23" s="875"/>
      <c r="T23" s="875"/>
      <c r="U23" s="875"/>
      <c r="V23" s="16"/>
      <c r="W23" s="875"/>
      <c r="X23" s="876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1"/>
      <c r="AJ23" s="761"/>
      <c r="AK23" s="761"/>
      <c r="AL23" s="762"/>
    </row>
    <row r="24" spans="2:38" s="6" customFormat="1" ht="19.899999999999999" customHeight="1" thickBot="1">
      <c r="B24" s="706"/>
      <c r="C24" s="930"/>
      <c r="D24" s="931"/>
      <c r="E24" s="931"/>
      <c r="F24" s="932"/>
      <c r="G24" s="932"/>
      <c r="H24" s="932"/>
      <c r="I24" s="932"/>
      <c r="J24" s="932"/>
      <c r="K24" s="932"/>
      <c r="L24" s="932"/>
      <c r="M24" s="933"/>
      <c r="N24" s="933"/>
      <c r="O24" s="933"/>
      <c r="P24" s="933"/>
      <c r="Q24" s="933"/>
      <c r="R24" s="933"/>
      <c r="S24" s="933"/>
      <c r="T24" s="933"/>
      <c r="U24" s="933"/>
      <c r="V24" s="78"/>
      <c r="W24" s="933"/>
      <c r="X24" s="934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6"/>
      <c r="AJ24" s="766"/>
      <c r="AK24" s="766"/>
      <c r="AL24" s="767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961" t="s">
        <v>542</v>
      </c>
      <c r="AD25" s="890"/>
      <c r="AE25" s="890"/>
      <c r="AF25" s="891"/>
      <c r="AG25" s="961" t="s">
        <v>45</v>
      </c>
      <c r="AH25" s="890"/>
      <c r="AI25" s="890"/>
      <c r="AJ25" s="890"/>
      <c r="AK25" s="890"/>
      <c r="AL25" s="962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6" t="s">
        <v>32</v>
      </c>
      <c r="AB26" s="997"/>
      <c r="AC26" s="997"/>
      <c r="AD26" s="997"/>
      <c r="AE26" s="997"/>
      <c r="AF26" s="998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9"/>
      <c r="AB27" s="1000"/>
      <c r="AC27" s="1000"/>
      <c r="AD27" s="1000"/>
      <c r="AE27" s="1000"/>
      <c r="AF27" s="1001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5"/>
      <c r="AC36" s="935"/>
      <c r="AD36" s="935"/>
      <c r="AE36" s="935"/>
      <c r="AF36" s="936"/>
      <c r="AG36" s="935" t="s">
        <v>31</v>
      </c>
      <c r="AH36" s="935"/>
      <c r="AI36" s="935"/>
      <c r="AJ36" s="935"/>
      <c r="AK36" s="935"/>
      <c r="AL36" s="936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3" t="s">
        <v>533</v>
      </c>
      <c r="AB38" s="833"/>
      <c r="AC38" s="833"/>
      <c r="AD38" s="833"/>
      <c r="AE38" s="833"/>
      <c r="AF38" s="833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184" t="s">
        <v>15</v>
      </c>
      <c r="AG1" s="1184"/>
      <c r="AH1" s="1184"/>
      <c r="AI1" s="1184"/>
      <c r="AJ1" s="1185"/>
      <c r="AK1" s="357"/>
    </row>
    <row r="2" spans="2:42" s="319" customFormat="1" ht="15" customHeight="1">
      <c r="K2" s="410"/>
      <c r="L2" s="410"/>
      <c r="M2" s="410"/>
      <c r="N2" s="410"/>
      <c r="O2" s="410"/>
      <c r="P2" s="1186" t="s">
        <v>30</v>
      </c>
      <c r="Q2" s="1186"/>
      <c r="R2" s="1186"/>
      <c r="S2" s="1186"/>
      <c r="T2" s="1186"/>
      <c r="U2" s="1186"/>
      <c r="V2" s="1186"/>
      <c r="W2" s="1186"/>
      <c r="X2" s="1186"/>
      <c r="Y2" s="1186"/>
      <c r="Z2" s="1186"/>
      <c r="AA2" s="1186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186" t="s">
        <v>14</v>
      </c>
      <c r="Q3" s="1186"/>
      <c r="R3" s="1186"/>
      <c r="S3" s="1186"/>
      <c r="T3" s="1186"/>
      <c r="U3" s="1186"/>
      <c r="V3" s="1186"/>
      <c r="W3" s="1186"/>
      <c r="X3" s="1186"/>
      <c r="Y3" s="1186"/>
      <c r="Z3" s="1186"/>
      <c r="AA3" s="1186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094" t="s">
        <v>775</v>
      </c>
      <c r="S4" s="1095"/>
      <c r="T4" s="1095"/>
      <c r="U4" s="1095"/>
      <c r="V4" s="1095"/>
      <c r="W4" s="1095"/>
      <c r="X4" s="1095"/>
      <c r="Y4" s="1095"/>
      <c r="Z4" s="1095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72" t="s">
        <v>24</v>
      </c>
      <c r="AG6" s="772"/>
      <c r="AH6" s="772"/>
      <c r="AI6" s="773"/>
      <c r="AJ6" s="773"/>
      <c r="AK6" s="773"/>
      <c r="AL6" s="405"/>
    </row>
    <row r="7" spans="2:42" s="393" customFormat="1" ht="34.9" customHeight="1" thickTop="1" thickBot="1">
      <c r="B7" s="1126" t="s">
        <v>535</v>
      </c>
      <c r="C7" s="404" t="s">
        <v>0</v>
      </c>
      <c r="D7" s="403"/>
      <c r="E7" s="403"/>
      <c r="F7" s="1127" t="str">
        <f>'2 - Kit Request'!C7</f>
        <v>Kenai Watershed Forum</v>
      </c>
      <c r="G7" s="1128"/>
      <c r="H7" s="1128"/>
      <c r="I7" s="1128"/>
      <c r="J7" s="1128"/>
      <c r="K7" s="1128"/>
      <c r="L7" s="1128"/>
      <c r="M7" s="1128"/>
      <c r="N7" s="1128"/>
      <c r="O7" s="1128"/>
      <c r="P7" s="1128"/>
      <c r="Q7" s="1128"/>
      <c r="R7" s="1128"/>
      <c r="S7" s="1128"/>
      <c r="T7" s="1128"/>
      <c r="U7" s="1129"/>
      <c r="V7" s="1189" t="s">
        <v>541</v>
      </c>
      <c r="W7" s="1190"/>
      <c r="X7" s="1190"/>
      <c r="Y7" s="1190"/>
      <c r="Z7" s="1190"/>
      <c r="AA7" s="1190"/>
      <c r="AB7" s="1190"/>
      <c r="AC7" s="1190"/>
      <c r="AD7" s="1190"/>
      <c r="AE7" s="1190"/>
      <c r="AF7" s="1190"/>
      <c r="AG7" s="1190"/>
      <c r="AH7" s="1191"/>
      <c r="AI7" s="1192" t="s">
        <v>48</v>
      </c>
      <c r="AJ7" s="1193"/>
      <c r="AK7" s="1193"/>
      <c r="AL7" s="1194"/>
    </row>
    <row r="8" spans="2:42" s="393" customFormat="1" ht="40.15" customHeight="1" thickBot="1">
      <c r="B8" s="1044"/>
      <c r="C8" s="402" t="s">
        <v>1</v>
      </c>
      <c r="D8" s="401"/>
      <c r="E8" s="401"/>
      <c r="F8" s="1142" t="str">
        <f>'2 - Kit Request'!C8</f>
        <v>Benjamin Meyer</v>
      </c>
      <c r="G8" s="1135"/>
      <c r="H8" s="1135"/>
      <c r="I8" s="1135"/>
      <c r="J8" s="1135"/>
      <c r="K8" s="1135"/>
      <c r="L8" s="400" t="s">
        <v>706</v>
      </c>
      <c r="M8" s="399"/>
      <c r="N8" s="399"/>
      <c r="O8" s="1135">
        <f>'2 - Kit Request'!F8</f>
        <v>0</v>
      </c>
      <c r="P8" s="1135"/>
      <c r="Q8" s="1135"/>
      <c r="R8" s="1135"/>
      <c r="S8" s="1135"/>
      <c r="T8" s="1135"/>
      <c r="U8" s="1143"/>
      <c r="V8" s="1144" t="s">
        <v>537</v>
      </c>
      <c r="W8" s="1145"/>
      <c r="X8" s="1146"/>
      <c r="Y8" s="1101" t="s">
        <v>85</v>
      </c>
      <c r="Z8" s="1102"/>
      <c r="AA8" s="1102"/>
      <c r="AB8" s="1102"/>
      <c r="AC8" s="1102"/>
      <c r="AD8" s="1106"/>
      <c r="AE8" s="1107"/>
      <c r="AF8" s="1107"/>
      <c r="AG8" s="1107"/>
      <c r="AH8" s="1108"/>
      <c r="AI8" s="1195"/>
      <c r="AJ8" s="1195"/>
      <c r="AK8" s="1195"/>
      <c r="AL8" s="1196"/>
    </row>
    <row r="9" spans="2:42" s="393" customFormat="1" ht="40.15" customHeight="1" thickBot="1">
      <c r="B9" s="1044"/>
      <c r="C9" s="1133" t="s">
        <v>37</v>
      </c>
      <c r="D9" s="1134"/>
      <c r="E9" s="1134"/>
      <c r="F9" s="1135" t="str">
        <f>'2 - Kit Request'!C10</f>
        <v>Kenai River Baseline Water Quality Monitoring</v>
      </c>
      <c r="G9" s="1135"/>
      <c r="H9" s="1135"/>
      <c r="I9" s="1135"/>
      <c r="J9" s="1135"/>
      <c r="K9" s="1135"/>
      <c r="L9" s="1136" t="s">
        <v>776</v>
      </c>
      <c r="M9" s="1137"/>
      <c r="N9" s="1137"/>
      <c r="O9" s="1138">
        <f>'2 - Kit Request'!F10</f>
        <v>0</v>
      </c>
      <c r="P9" s="1138"/>
      <c r="Q9" s="1138"/>
      <c r="R9" s="1138"/>
      <c r="S9" s="1138"/>
      <c r="T9" s="1138"/>
      <c r="U9" s="1139"/>
      <c r="V9" s="1152" t="s">
        <v>58</v>
      </c>
      <c r="W9" s="1155"/>
      <c r="X9" s="1156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HNO3</v>
      </c>
      <c r="AC9" s="1109" t="s">
        <v>846</v>
      </c>
      <c r="AD9" s="1110"/>
      <c r="AE9" s="1110"/>
      <c r="AF9" s="1110"/>
      <c r="AG9" s="1110"/>
      <c r="AH9" s="1110"/>
      <c r="AI9" s="1110"/>
      <c r="AJ9" s="1110"/>
      <c r="AK9" s="1110"/>
      <c r="AL9" s="1111"/>
    </row>
    <row r="10" spans="2:42" s="393" customFormat="1" ht="18" customHeight="1">
      <c r="B10" s="1044"/>
      <c r="C10" s="357" t="s">
        <v>2</v>
      </c>
      <c r="D10" s="357"/>
      <c r="E10" s="357"/>
      <c r="F10" s="358"/>
      <c r="G10" s="1157"/>
      <c r="H10" s="1158"/>
      <c r="I10" s="1158"/>
      <c r="J10" s="1158"/>
      <c r="K10" s="1158"/>
      <c r="L10" s="1159" t="s">
        <v>28</v>
      </c>
      <c r="M10" s="1159"/>
      <c r="N10" s="1159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153"/>
      <c r="W10" s="1096"/>
      <c r="X10" s="1097"/>
      <c r="Y10" s="1165" t="s">
        <v>451</v>
      </c>
      <c r="Z10" s="1166"/>
      <c r="AA10" s="1166"/>
      <c r="AB10" s="1167"/>
      <c r="AC10" s="1112"/>
      <c r="AD10" s="1113"/>
      <c r="AE10" s="1113"/>
      <c r="AF10" s="1113"/>
      <c r="AG10" s="1113"/>
      <c r="AH10" s="1113"/>
      <c r="AI10" s="1113"/>
      <c r="AJ10" s="1113"/>
      <c r="AK10" s="1113"/>
      <c r="AL10" s="1114"/>
      <c r="AP10" s="394"/>
    </row>
    <row r="11" spans="2:42" s="393" customFormat="1" ht="18" customHeight="1">
      <c r="B11" s="1044"/>
      <c r="C11" s="1175"/>
      <c r="D11" s="1176"/>
      <c r="E11" s="1176"/>
      <c r="F11" s="1176"/>
      <c r="G11" s="1176"/>
      <c r="H11" s="1176"/>
      <c r="I11" s="1176"/>
      <c r="J11" s="1176"/>
      <c r="K11" s="1176"/>
      <c r="L11" s="1149" t="s">
        <v>751</v>
      </c>
      <c r="M11" s="1149"/>
      <c r="N11" s="1149"/>
      <c r="O11" s="1150">
        <f>'2 - Kit Request'!F11</f>
        <v>0</v>
      </c>
      <c r="P11" s="1149"/>
      <c r="Q11" s="1149"/>
      <c r="R11" s="1149"/>
      <c r="S11" s="1149"/>
      <c r="T11" s="1149"/>
      <c r="U11" s="1151"/>
      <c r="V11" s="1153"/>
      <c r="W11" s="1096"/>
      <c r="X11" s="1097"/>
      <c r="Y11" s="1168" t="str">
        <f>'2 - Kit Request'!C18</f>
        <v>Total NO3/NO2(SM21 4500NO3-F), Total P(SM4500)</v>
      </c>
      <c r="Z11" s="1171" t="str">
        <f>'2 - Kit Request'!C19</f>
        <v>Total Metals (200.7)</v>
      </c>
      <c r="AA11" s="1171" t="str">
        <f>'2 - Kit Request'!C20</f>
        <v>Dissolved Metals (200.8)</v>
      </c>
      <c r="AB11" s="1181">
        <f>'2 - Kit Request'!C21</f>
        <v>0</v>
      </c>
      <c r="AC11" s="1112"/>
      <c r="AD11" s="1113"/>
      <c r="AE11" s="1113"/>
      <c r="AF11" s="1113"/>
      <c r="AG11" s="1113"/>
      <c r="AH11" s="1113"/>
      <c r="AI11" s="1113"/>
      <c r="AJ11" s="1113"/>
      <c r="AK11" s="1113"/>
      <c r="AL11" s="1114"/>
      <c r="AP11" s="394"/>
    </row>
    <row r="12" spans="2:42" s="393" customFormat="1" ht="18" customHeight="1" thickBot="1">
      <c r="B12" s="1044"/>
      <c r="C12" s="357" t="s">
        <v>3</v>
      </c>
      <c r="D12" s="357"/>
      <c r="E12" s="357"/>
      <c r="F12" s="358"/>
      <c r="G12" s="1160"/>
      <c r="H12" s="1161"/>
      <c r="I12" s="1161"/>
      <c r="J12" s="1161"/>
      <c r="K12" s="1161"/>
      <c r="L12" s="396" t="s">
        <v>4</v>
      </c>
      <c r="M12" s="357"/>
      <c r="N12" s="357"/>
      <c r="O12" s="1162">
        <f>'2 - Kit Request'!C11</f>
        <v>0</v>
      </c>
      <c r="P12" s="1163"/>
      <c r="Q12" s="1163"/>
      <c r="R12" s="1163"/>
      <c r="S12" s="1163"/>
      <c r="T12" s="1163"/>
      <c r="U12" s="1164"/>
      <c r="V12" s="1153"/>
      <c r="W12" s="1096"/>
      <c r="X12" s="1118"/>
      <c r="Y12" s="1169"/>
      <c r="Z12" s="1172"/>
      <c r="AA12" s="1172"/>
      <c r="AB12" s="1182"/>
      <c r="AC12" s="1115"/>
      <c r="AD12" s="1116"/>
      <c r="AE12" s="1116"/>
      <c r="AF12" s="1116"/>
      <c r="AG12" s="1116"/>
      <c r="AH12" s="1116"/>
      <c r="AI12" s="1116"/>
      <c r="AJ12" s="1116"/>
      <c r="AK12" s="1116"/>
      <c r="AL12" s="1117"/>
      <c r="AP12" s="394"/>
    </row>
    <row r="13" spans="2:42" s="393" customFormat="1" ht="18" customHeight="1" thickBot="1">
      <c r="B13" s="1045"/>
      <c r="C13" s="1177" t="str">
        <f>'2 - Kit Request'!C7:F7</f>
        <v>Kenai Watershed Forum</v>
      </c>
      <c r="D13" s="1178"/>
      <c r="E13" s="1178"/>
      <c r="F13" s="1178"/>
      <c r="G13" s="1178"/>
      <c r="H13" s="1178"/>
      <c r="I13" s="1178"/>
      <c r="J13" s="1178"/>
      <c r="K13" s="1178"/>
      <c r="L13" s="395" t="s">
        <v>29</v>
      </c>
      <c r="M13" s="363"/>
      <c r="N13" s="1179"/>
      <c r="O13" s="1179"/>
      <c r="P13" s="1179"/>
      <c r="Q13" s="1179"/>
      <c r="R13" s="1179"/>
      <c r="S13" s="1179"/>
      <c r="T13" s="1179"/>
      <c r="U13" s="1180"/>
      <c r="V13" s="1153"/>
      <c r="W13" s="1096" t="s">
        <v>708</v>
      </c>
      <c r="X13" s="1097"/>
      <c r="Y13" s="1169"/>
      <c r="Z13" s="1172"/>
      <c r="AA13" s="1172"/>
      <c r="AB13" s="1182"/>
      <c r="AC13" s="1028" t="s">
        <v>777</v>
      </c>
      <c r="AD13" s="1029"/>
      <c r="AE13" s="1032" t="s">
        <v>778</v>
      </c>
      <c r="AF13" s="1033"/>
      <c r="AG13" s="1028" t="s">
        <v>779</v>
      </c>
      <c r="AH13" s="1033"/>
      <c r="AI13" s="1033"/>
      <c r="AJ13" s="1033"/>
      <c r="AK13" s="1033"/>
      <c r="AL13" s="1147"/>
      <c r="AP13" s="394"/>
    </row>
    <row r="14" spans="2:42" s="382" customFormat="1" ht="40.15" customHeight="1" thickBot="1">
      <c r="B14" s="1126" t="s">
        <v>536</v>
      </c>
      <c r="C14" s="1140" t="s">
        <v>34</v>
      </c>
      <c r="D14" s="1141"/>
      <c r="E14" s="1141"/>
      <c r="F14" s="1174" t="s">
        <v>783</v>
      </c>
      <c r="G14" s="1174"/>
      <c r="H14" s="1174"/>
      <c r="I14" s="1174"/>
      <c r="J14" s="1174"/>
      <c r="K14" s="1174"/>
      <c r="L14" s="1174"/>
      <c r="M14" s="1098" t="s">
        <v>781</v>
      </c>
      <c r="N14" s="1099"/>
      <c r="O14" s="1099"/>
      <c r="P14" s="1099"/>
      <c r="Q14" s="1100"/>
      <c r="R14" s="1098" t="s">
        <v>782</v>
      </c>
      <c r="S14" s="1099"/>
      <c r="T14" s="1099"/>
      <c r="U14" s="1100"/>
      <c r="V14" s="1154"/>
      <c r="W14" s="1096" t="s">
        <v>709</v>
      </c>
      <c r="X14" s="1097"/>
      <c r="Y14" s="1170"/>
      <c r="Z14" s="1173"/>
      <c r="AA14" s="1173"/>
      <c r="AB14" s="1183"/>
      <c r="AC14" s="1030"/>
      <c r="AD14" s="1031"/>
      <c r="AE14" s="1034"/>
      <c r="AF14" s="1035"/>
      <c r="AG14" s="1030"/>
      <c r="AH14" s="1035"/>
      <c r="AI14" s="1035"/>
      <c r="AJ14" s="1035"/>
      <c r="AK14" s="1035"/>
      <c r="AL14" s="1148"/>
    </row>
    <row r="15" spans="2:42" s="389" customFormat="1" ht="19.899999999999999" customHeight="1">
      <c r="B15" s="1044"/>
      <c r="C15" s="1123"/>
      <c r="D15" s="1124"/>
      <c r="E15" s="1124"/>
      <c r="F15" s="1125"/>
      <c r="G15" s="1125"/>
      <c r="H15" s="1125"/>
      <c r="I15" s="1125"/>
      <c r="J15" s="1125"/>
      <c r="K15" s="1125"/>
      <c r="L15" s="1125"/>
      <c r="M15" s="1026"/>
      <c r="N15" s="1039"/>
      <c r="O15" s="1039"/>
      <c r="P15" s="1039"/>
      <c r="Q15" s="1119"/>
      <c r="R15" s="1026"/>
      <c r="S15" s="1039"/>
      <c r="T15" s="1039"/>
      <c r="U15" s="1119"/>
      <c r="V15" s="386"/>
      <c r="W15" s="1026"/>
      <c r="X15" s="1027"/>
      <c r="Y15" s="392"/>
      <c r="Z15" s="391"/>
      <c r="AA15" s="391"/>
      <c r="AB15" s="390"/>
      <c r="AC15" s="1187"/>
      <c r="AD15" s="1188"/>
      <c r="AE15" s="1187"/>
      <c r="AF15" s="1188"/>
      <c r="AG15" s="1036"/>
      <c r="AH15" s="1037"/>
      <c r="AI15" s="1037"/>
      <c r="AJ15" s="1037"/>
      <c r="AK15" s="1037"/>
      <c r="AL15" s="1038"/>
    </row>
    <row r="16" spans="2:42" s="389" customFormat="1" ht="19.899999999999999" customHeight="1">
      <c r="B16" s="1044"/>
      <c r="C16" s="1123"/>
      <c r="D16" s="1124"/>
      <c r="E16" s="1124"/>
      <c r="F16" s="1130"/>
      <c r="G16" s="1131"/>
      <c r="H16" s="1131"/>
      <c r="I16" s="1131"/>
      <c r="J16" s="1131"/>
      <c r="K16" s="1131"/>
      <c r="L16" s="1132"/>
      <c r="M16" s="1026"/>
      <c r="N16" s="1039"/>
      <c r="O16" s="1039"/>
      <c r="P16" s="1039"/>
      <c r="Q16" s="1119"/>
      <c r="R16" s="1026"/>
      <c r="S16" s="1039"/>
      <c r="T16" s="1039"/>
      <c r="U16" s="1119"/>
      <c r="V16" s="386"/>
      <c r="W16" s="1041"/>
      <c r="X16" s="1042"/>
      <c r="Y16" s="387"/>
      <c r="Z16" s="386"/>
      <c r="AA16" s="386"/>
      <c r="AB16" s="388"/>
      <c r="AC16" s="1042"/>
      <c r="AD16" s="1043"/>
      <c r="AE16" s="1042"/>
      <c r="AF16" s="1043"/>
      <c r="AG16" s="1026"/>
      <c r="AH16" s="1039"/>
      <c r="AI16" s="1039"/>
      <c r="AJ16" s="1039"/>
      <c r="AK16" s="1039"/>
      <c r="AL16" s="1040"/>
    </row>
    <row r="17" spans="2:38" s="382" customFormat="1" ht="19.899999999999999" customHeight="1">
      <c r="B17" s="1044"/>
      <c r="C17" s="1123"/>
      <c r="D17" s="1124"/>
      <c r="E17" s="1124"/>
      <c r="F17" s="1125"/>
      <c r="G17" s="1125"/>
      <c r="H17" s="1125"/>
      <c r="I17" s="1125"/>
      <c r="J17" s="1125"/>
      <c r="K17" s="1125"/>
      <c r="L17" s="1125"/>
      <c r="M17" s="1026"/>
      <c r="N17" s="1039"/>
      <c r="O17" s="1039"/>
      <c r="P17" s="1039"/>
      <c r="Q17" s="1119"/>
      <c r="R17" s="1026"/>
      <c r="S17" s="1039"/>
      <c r="T17" s="1039"/>
      <c r="U17" s="1119"/>
      <c r="V17" s="386"/>
      <c r="W17" s="1041"/>
      <c r="X17" s="1042"/>
      <c r="Y17" s="387"/>
      <c r="Z17" s="386"/>
      <c r="AA17" s="386"/>
      <c r="AB17" s="388"/>
      <c r="AC17" s="1042"/>
      <c r="AD17" s="1043"/>
      <c r="AE17" s="1042"/>
      <c r="AF17" s="1043"/>
      <c r="AG17" s="1026"/>
      <c r="AH17" s="1039"/>
      <c r="AI17" s="1039"/>
      <c r="AJ17" s="1039"/>
      <c r="AK17" s="1039"/>
      <c r="AL17" s="1040"/>
    </row>
    <row r="18" spans="2:38" s="382" customFormat="1" ht="19.899999999999999" customHeight="1">
      <c r="B18" s="1044"/>
      <c r="C18" s="1123"/>
      <c r="D18" s="1124"/>
      <c r="E18" s="1124"/>
      <c r="F18" s="1125"/>
      <c r="G18" s="1125"/>
      <c r="H18" s="1125"/>
      <c r="I18" s="1125"/>
      <c r="J18" s="1125"/>
      <c r="K18" s="1125"/>
      <c r="L18" s="1125"/>
      <c r="M18" s="1026"/>
      <c r="N18" s="1039"/>
      <c r="O18" s="1039"/>
      <c r="P18" s="1039"/>
      <c r="Q18" s="1119"/>
      <c r="R18" s="1026"/>
      <c r="S18" s="1039"/>
      <c r="T18" s="1039"/>
      <c r="U18" s="1119"/>
      <c r="V18" s="386"/>
      <c r="W18" s="1041"/>
      <c r="X18" s="1042"/>
      <c r="Y18" s="387"/>
      <c r="Z18" s="386"/>
      <c r="AA18" s="386"/>
      <c r="AB18" s="388"/>
      <c r="AC18" s="1024"/>
      <c r="AD18" s="1025"/>
      <c r="AE18" s="1024"/>
      <c r="AF18" s="1025"/>
      <c r="AG18" s="1026"/>
      <c r="AH18" s="1039"/>
      <c r="AI18" s="1039"/>
      <c r="AJ18" s="1039"/>
      <c r="AK18" s="1039"/>
      <c r="AL18" s="1040"/>
    </row>
    <row r="19" spans="2:38" s="382" customFormat="1" ht="19.899999999999999" customHeight="1">
      <c r="B19" s="1044"/>
      <c r="C19" s="1123"/>
      <c r="D19" s="1124"/>
      <c r="E19" s="1124"/>
      <c r="F19" s="1125"/>
      <c r="G19" s="1125"/>
      <c r="H19" s="1125"/>
      <c r="I19" s="1125"/>
      <c r="J19" s="1125"/>
      <c r="K19" s="1125"/>
      <c r="L19" s="1125"/>
      <c r="M19" s="1026"/>
      <c r="N19" s="1039"/>
      <c r="O19" s="1039"/>
      <c r="P19" s="1039"/>
      <c r="Q19" s="1119"/>
      <c r="R19" s="1026"/>
      <c r="S19" s="1039"/>
      <c r="T19" s="1039"/>
      <c r="U19" s="1119"/>
      <c r="V19" s="386"/>
      <c r="W19" s="1041"/>
      <c r="X19" s="1042"/>
      <c r="Y19" s="387"/>
      <c r="Z19" s="386"/>
      <c r="AA19" s="386"/>
      <c r="AB19" s="388"/>
      <c r="AC19" s="1024"/>
      <c r="AD19" s="1025"/>
      <c r="AE19" s="1024"/>
      <c r="AF19" s="1025"/>
      <c r="AG19" s="1026"/>
      <c r="AH19" s="1039"/>
      <c r="AI19" s="1039"/>
      <c r="AJ19" s="1039"/>
      <c r="AK19" s="1039"/>
      <c r="AL19" s="1040"/>
    </row>
    <row r="20" spans="2:38" s="382" customFormat="1" ht="19.899999999999999" customHeight="1">
      <c r="B20" s="1044"/>
      <c r="C20" s="1123"/>
      <c r="D20" s="1124"/>
      <c r="E20" s="1124"/>
      <c r="F20" s="1125"/>
      <c r="G20" s="1125"/>
      <c r="H20" s="1125"/>
      <c r="I20" s="1125"/>
      <c r="J20" s="1125"/>
      <c r="K20" s="1125"/>
      <c r="L20" s="1125"/>
      <c r="M20" s="1026"/>
      <c r="N20" s="1039"/>
      <c r="O20" s="1039"/>
      <c r="P20" s="1039"/>
      <c r="Q20" s="1119"/>
      <c r="R20" s="1026"/>
      <c r="S20" s="1039"/>
      <c r="T20" s="1039"/>
      <c r="U20" s="1119"/>
      <c r="V20" s="386"/>
      <c r="W20" s="1041"/>
      <c r="X20" s="1042"/>
      <c r="Y20" s="387"/>
      <c r="Z20" s="386"/>
      <c r="AA20" s="386"/>
      <c r="AB20" s="386"/>
      <c r="AC20" s="1024"/>
      <c r="AD20" s="1025"/>
      <c r="AE20" s="1024"/>
      <c r="AF20" s="1025"/>
      <c r="AG20" s="1026"/>
      <c r="AH20" s="1039"/>
      <c r="AI20" s="1039"/>
      <c r="AJ20" s="1039"/>
      <c r="AK20" s="1039"/>
      <c r="AL20" s="1040"/>
    </row>
    <row r="21" spans="2:38" s="382" customFormat="1" ht="19.899999999999999" customHeight="1">
      <c r="B21" s="1044"/>
      <c r="C21" s="1123"/>
      <c r="D21" s="1124"/>
      <c r="E21" s="1124"/>
      <c r="F21" s="1125"/>
      <c r="G21" s="1125"/>
      <c r="H21" s="1125"/>
      <c r="I21" s="1125"/>
      <c r="J21" s="1125"/>
      <c r="K21" s="1125"/>
      <c r="L21" s="1125"/>
      <c r="M21" s="1026"/>
      <c r="N21" s="1039"/>
      <c r="O21" s="1039"/>
      <c r="P21" s="1039"/>
      <c r="Q21" s="1119"/>
      <c r="R21" s="1026"/>
      <c r="S21" s="1039"/>
      <c r="T21" s="1039"/>
      <c r="U21" s="1119"/>
      <c r="V21" s="386"/>
      <c r="W21" s="1041"/>
      <c r="X21" s="1042"/>
      <c r="Y21" s="387"/>
      <c r="Z21" s="386"/>
      <c r="AA21" s="386"/>
      <c r="AB21" s="386"/>
      <c r="AC21" s="1024"/>
      <c r="AD21" s="1025"/>
      <c r="AE21" s="1024"/>
      <c r="AF21" s="1025"/>
      <c r="AG21" s="1026"/>
      <c r="AH21" s="1039"/>
      <c r="AI21" s="1039"/>
      <c r="AJ21" s="1039"/>
      <c r="AK21" s="1039"/>
      <c r="AL21" s="1040"/>
    </row>
    <row r="22" spans="2:38" s="382" customFormat="1" ht="19.899999999999999" customHeight="1">
      <c r="B22" s="1044"/>
      <c r="C22" s="1123"/>
      <c r="D22" s="1124"/>
      <c r="E22" s="1124"/>
      <c r="F22" s="1125"/>
      <c r="G22" s="1125"/>
      <c r="H22" s="1125"/>
      <c r="I22" s="1125"/>
      <c r="J22" s="1125"/>
      <c r="K22" s="1125"/>
      <c r="L22" s="1125"/>
      <c r="M22" s="1026"/>
      <c r="N22" s="1039"/>
      <c r="O22" s="1039"/>
      <c r="P22" s="1039"/>
      <c r="Q22" s="1119"/>
      <c r="R22" s="1026"/>
      <c r="S22" s="1039"/>
      <c r="T22" s="1039"/>
      <c r="U22" s="1119"/>
      <c r="V22" s="386"/>
      <c r="W22" s="1041"/>
      <c r="X22" s="1042"/>
      <c r="Y22" s="387"/>
      <c r="Z22" s="386"/>
      <c r="AA22" s="386"/>
      <c r="AB22" s="386"/>
      <c r="AC22" s="1024"/>
      <c r="AD22" s="1025"/>
      <c r="AE22" s="1024"/>
      <c r="AF22" s="1025"/>
      <c r="AG22" s="1026"/>
      <c r="AH22" s="1039"/>
      <c r="AI22" s="1039"/>
      <c r="AJ22" s="1039"/>
      <c r="AK22" s="1039"/>
      <c r="AL22" s="1040"/>
    </row>
    <row r="23" spans="2:38" s="382" customFormat="1" ht="19.899999999999999" customHeight="1">
      <c r="B23" s="1044"/>
      <c r="C23" s="1123"/>
      <c r="D23" s="1124"/>
      <c r="E23" s="1124"/>
      <c r="F23" s="1125"/>
      <c r="G23" s="1125"/>
      <c r="H23" s="1125"/>
      <c r="I23" s="1125"/>
      <c r="J23" s="1125"/>
      <c r="K23" s="1125"/>
      <c r="L23" s="1125"/>
      <c r="M23" s="1026"/>
      <c r="N23" s="1039"/>
      <c r="O23" s="1039"/>
      <c r="P23" s="1039"/>
      <c r="Q23" s="1119"/>
      <c r="R23" s="1026"/>
      <c r="S23" s="1039"/>
      <c r="T23" s="1039"/>
      <c r="U23" s="1119"/>
      <c r="V23" s="386"/>
      <c r="W23" s="1041"/>
      <c r="X23" s="1042"/>
      <c r="Y23" s="387"/>
      <c r="Z23" s="386"/>
      <c r="AA23" s="386"/>
      <c r="AB23" s="386"/>
      <c r="AC23" s="1024"/>
      <c r="AD23" s="1025"/>
      <c r="AE23" s="1024"/>
      <c r="AF23" s="1025"/>
      <c r="AG23" s="1026"/>
      <c r="AH23" s="1039"/>
      <c r="AI23" s="1039"/>
      <c r="AJ23" s="1039"/>
      <c r="AK23" s="1039"/>
      <c r="AL23" s="1040"/>
    </row>
    <row r="24" spans="2:38" s="382" customFormat="1" ht="19.899999999999999" customHeight="1" thickBot="1">
      <c r="B24" s="1045"/>
      <c r="C24" s="1019"/>
      <c r="D24" s="1020"/>
      <c r="E24" s="1020"/>
      <c r="F24" s="1021"/>
      <c r="G24" s="1021"/>
      <c r="H24" s="1021"/>
      <c r="I24" s="1021"/>
      <c r="J24" s="1021"/>
      <c r="K24" s="1021"/>
      <c r="L24" s="1021"/>
      <c r="M24" s="1103"/>
      <c r="N24" s="1104"/>
      <c r="O24" s="1104"/>
      <c r="P24" s="1104"/>
      <c r="Q24" s="1122"/>
      <c r="R24" s="1103"/>
      <c r="S24" s="1104"/>
      <c r="T24" s="1104"/>
      <c r="U24" s="1122"/>
      <c r="V24" s="385"/>
      <c r="W24" s="1022"/>
      <c r="X24" s="1023"/>
      <c r="Y24" s="384"/>
      <c r="Z24" s="383"/>
      <c r="AA24" s="383"/>
      <c r="AB24" s="383"/>
      <c r="AC24" s="1120"/>
      <c r="AD24" s="1121"/>
      <c r="AE24" s="1120"/>
      <c r="AF24" s="1121"/>
      <c r="AG24" s="1103"/>
      <c r="AH24" s="1104"/>
      <c r="AI24" s="1104"/>
      <c r="AJ24" s="1104"/>
      <c r="AK24" s="1104"/>
      <c r="AL24" s="1105"/>
    </row>
    <row r="25" spans="2:38" s="334" customFormat="1" ht="21.75" customHeight="1">
      <c r="B25" s="1044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046" t="s">
        <v>539</v>
      </c>
      <c r="AB25" s="1047"/>
      <c r="AC25" s="1048"/>
      <c r="AD25" s="1048"/>
      <c r="AE25" s="1048"/>
      <c r="AF25" s="1049"/>
      <c r="AG25" s="1050" t="s">
        <v>45</v>
      </c>
      <c r="AH25" s="1048"/>
      <c r="AI25" s="1048"/>
      <c r="AJ25" s="1048"/>
      <c r="AK25" s="1048"/>
      <c r="AL25" s="1051"/>
    </row>
    <row r="26" spans="2:38" s="319" customFormat="1" ht="15" customHeight="1">
      <c r="B26" s="1044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052" t="s">
        <v>540</v>
      </c>
      <c r="AB26" s="1053"/>
      <c r="AC26" s="1053"/>
      <c r="AD26" s="1053"/>
      <c r="AE26" s="1053"/>
      <c r="AF26" s="1054"/>
      <c r="AG26" s="1058">
        <f>'2 - Kit Request'!F11</f>
        <v>0</v>
      </c>
      <c r="AH26" s="1059"/>
      <c r="AI26" s="1059"/>
      <c r="AJ26" s="1059"/>
      <c r="AK26" s="1059"/>
      <c r="AL26" s="1060"/>
    </row>
    <row r="27" spans="2:38" s="319" customFormat="1" ht="15" customHeight="1">
      <c r="B27" s="1044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055"/>
      <c r="AB27" s="1056"/>
      <c r="AC27" s="1056"/>
      <c r="AD27" s="1056"/>
      <c r="AE27" s="1056"/>
      <c r="AF27" s="1057"/>
      <c r="AG27" s="1061"/>
      <c r="AH27" s="1062"/>
      <c r="AI27" s="1062"/>
      <c r="AJ27" s="1062"/>
      <c r="AK27" s="1062"/>
      <c r="AL27" s="1063"/>
    </row>
    <row r="28" spans="2:38" s="319" customFormat="1" ht="15" customHeight="1">
      <c r="B28" s="1044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44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064"/>
      <c r="AB29" s="1065"/>
      <c r="AC29" s="1065"/>
      <c r="AD29" s="1065"/>
      <c r="AE29" s="1065"/>
      <c r="AF29" s="1065"/>
      <c r="AG29" s="1065"/>
      <c r="AH29" s="1065"/>
      <c r="AI29" s="1065"/>
      <c r="AJ29" s="1065"/>
      <c r="AK29" s="1065"/>
      <c r="AL29" s="1066"/>
    </row>
    <row r="30" spans="2:38" s="319" customFormat="1" ht="15" customHeight="1">
      <c r="B30" s="1044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064"/>
      <c r="AB30" s="1065"/>
      <c r="AC30" s="1065"/>
      <c r="AD30" s="1065"/>
      <c r="AE30" s="1065"/>
      <c r="AF30" s="1065"/>
      <c r="AG30" s="1065"/>
      <c r="AH30" s="1065"/>
      <c r="AI30" s="1065"/>
      <c r="AJ30" s="1065"/>
      <c r="AK30" s="1065"/>
      <c r="AL30" s="1066"/>
    </row>
    <row r="31" spans="2:38" s="319" customFormat="1" ht="15" customHeight="1" thickBot="1">
      <c r="B31" s="1044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067"/>
      <c r="AB31" s="1068"/>
      <c r="AC31" s="1068"/>
      <c r="AD31" s="1068"/>
      <c r="AE31" s="1068"/>
      <c r="AF31" s="1068"/>
      <c r="AG31" s="1068"/>
      <c r="AH31" s="1068"/>
      <c r="AI31" s="1068"/>
      <c r="AJ31" s="1068"/>
      <c r="AK31" s="1068"/>
      <c r="AL31" s="1069"/>
    </row>
    <row r="32" spans="2:38" s="319" customFormat="1" ht="15" customHeight="1">
      <c r="B32" s="1044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070" t="s">
        <v>44</v>
      </c>
      <c r="AB32" s="1071"/>
      <c r="AC32" s="1071"/>
      <c r="AD32" s="1071"/>
      <c r="AE32" s="1071"/>
      <c r="AF32" s="1072"/>
      <c r="AG32" s="1076" t="s">
        <v>13</v>
      </c>
      <c r="AH32" s="1077"/>
      <c r="AI32" s="1077"/>
      <c r="AJ32" s="1077"/>
      <c r="AK32" s="1077"/>
      <c r="AL32" s="1078"/>
    </row>
    <row r="33" spans="2:39" s="319" customFormat="1" ht="15" customHeight="1">
      <c r="B33" s="1044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073"/>
      <c r="AB33" s="1074"/>
      <c r="AC33" s="1074"/>
      <c r="AD33" s="1074"/>
      <c r="AE33" s="1074"/>
      <c r="AF33" s="1075"/>
      <c r="AG33" s="1079"/>
      <c r="AH33" s="1080"/>
      <c r="AI33" s="1080"/>
      <c r="AJ33" s="1080"/>
      <c r="AK33" s="1080"/>
      <c r="AL33" s="1081"/>
      <c r="AM33" s="365"/>
    </row>
    <row r="34" spans="2:39" s="319" customFormat="1" ht="15" customHeight="1">
      <c r="B34" s="1044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082" t="s">
        <v>43</v>
      </c>
      <c r="AB34" s="1083"/>
      <c r="AC34" s="1083"/>
      <c r="AD34" s="1083"/>
      <c r="AE34" s="1083"/>
      <c r="AF34" s="1084"/>
      <c r="AG34" s="1079" t="s">
        <v>47</v>
      </c>
      <c r="AH34" s="1080"/>
      <c r="AI34" s="1080"/>
      <c r="AJ34" s="1080"/>
      <c r="AK34" s="1080"/>
      <c r="AL34" s="1081"/>
      <c r="AM34" s="365"/>
    </row>
    <row r="35" spans="2:39" s="319" customFormat="1" ht="15" customHeight="1" thickBot="1">
      <c r="B35" s="1044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085"/>
      <c r="AB35" s="1086"/>
      <c r="AC35" s="1086"/>
      <c r="AD35" s="1086"/>
      <c r="AE35" s="1086"/>
      <c r="AF35" s="1087"/>
      <c r="AG35" s="1091"/>
      <c r="AH35" s="1092"/>
      <c r="AI35" s="1092"/>
      <c r="AJ35" s="1092"/>
      <c r="AK35" s="1092"/>
      <c r="AL35" s="1093"/>
      <c r="AM35" s="365"/>
    </row>
    <row r="36" spans="2:39" s="319" customFormat="1" ht="15" customHeight="1" thickBot="1">
      <c r="B36" s="1045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088" t="s">
        <v>746</v>
      </c>
      <c r="AB36" s="1089"/>
      <c r="AC36" s="1089"/>
      <c r="AD36" s="1089"/>
      <c r="AE36" s="1089"/>
      <c r="AF36" s="1089"/>
      <c r="AG36" s="1089"/>
      <c r="AH36" s="1089"/>
      <c r="AI36" s="1089"/>
      <c r="AJ36" s="1089"/>
      <c r="AK36" s="1089"/>
      <c r="AL36" s="1090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833" t="s">
        <v>533</v>
      </c>
      <c r="AB38" s="833"/>
      <c r="AC38" s="833"/>
      <c r="AD38" s="833"/>
      <c r="AE38" s="833"/>
      <c r="AF38" s="833"/>
      <c r="AG38" s="833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52" t="s">
        <v>845</v>
      </c>
      <c r="AK1" s="1252"/>
      <c r="AL1" s="1252"/>
      <c r="AM1" s="1252"/>
      <c r="AN1" s="1252"/>
      <c r="AO1" s="1252"/>
      <c r="AP1" s="1252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34" t="s">
        <v>840</v>
      </c>
      <c r="AI8" s="1234"/>
      <c r="AJ8" s="1234"/>
      <c r="AK8" s="1234"/>
      <c r="AL8" s="1234"/>
      <c r="AM8" s="1234"/>
      <c r="AN8" s="1234"/>
      <c r="AO8" s="1234"/>
      <c r="AP8" s="1234"/>
      <c r="AQ8" s="1234"/>
    </row>
    <row r="9" spans="1:45" ht="40.15" customHeight="1">
      <c r="A9" s="411" t="s">
        <v>839</v>
      </c>
      <c r="B9" s="412"/>
      <c r="C9" s="412"/>
      <c r="D9" s="1224"/>
      <c r="E9" s="1224"/>
      <c r="F9" s="1224"/>
      <c r="G9" s="1224"/>
      <c r="H9" s="1224"/>
      <c r="I9" s="1224"/>
      <c r="J9" s="1224"/>
      <c r="K9" s="1224"/>
      <c r="L9" s="1224"/>
      <c r="M9" s="1224"/>
      <c r="N9" s="413" t="s">
        <v>838</v>
      </c>
      <c r="O9" s="412"/>
      <c r="P9" s="412"/>
      <c r="Q9" s="1224"/>
      <c r="R9" s="1224"/>
      <c r="S9" s="1224"/>
      <c r="T9" s="1224"/>
      <c r="U9" s="1224"/>
      <c r="V9" s="1224"/>
      <c r="W9" s="1224"/>
      <c r="X9" s="1224"/>
      <c r="Y9" s="1225"/>
      <c r="Z9" s="1282" t="s">
        <v>837</v>
      </c>
      <c r="AA9" s="1286" t="s">
        <v>836</v>
      </c>
      <c r="AB9" s="1306" t="s">
        <v>835</v>
      </c>
      <c r="AC9" s="1264" t="s">
        <v>1140</v>
      </c>
      <c r="AD9" s="1261" t="s">
        <v>834</v>
      </c>
      <c r="AE9" s="1264" t="s">
        <v>1141</v>
      </c>
      <c r="AF9" s="1267" t="s">
        <v>833</v>
      </c>
      <c r="AG9" s="1270" t="s">
        <v>832</v>
      </c>
      <c r="AH9" s="1258" t="s">
        <v>831</v>
      </c>
      <c r="AI9" s="1255" t="s">
        <v>830</v>
      </c>
      <c r="AJ9" s="1215" t="s">
        <v>829</v>
      </c>
      <c r="AK9" s="1216"/>
      <c r="AL9" s="1216"/>
      <c r="AM9" s="1216"/>
      <c r="AN9" s="1216"/>
      <c r="AO9" s="1216"/>
      <c r="AP9" s="1216"/>
      <c r="AQ9" s="1217"/>
      <c r="AR9" s="252"/>
    </row>
    <row r="10" spans="1:45" ht="40.15" customHeight="1">
      <c r="A10" s="414" t="s">
        <v>828</v>
      </c>
      <c r="B10" s="415"/>
      <c r="C10" s="415"/>
      <c r="D10" s="1226"/>
      <c r="E10" s="1226"/>
      <c r="F10" s="1226"/>
      <c r="G10" s="1226"/>
      <c r="H10" s="1226"/>
      <c r="I10" s="1226"/>
      <c r="J10" s="1226"/>
      <c r="K10" s="1226"/>
      <c r="L10" s="1226"/>
      <c r="M10" s="1226"/>
      <c r="N10" s="415" t="s">
        <v>827</v>
      </c>
      <c r="O10" s="415"/>
      <c r="P10" s="1226"/>
      <c r="Q10" s="1226"/>
      <c r="R10" s="1226"/>
      <c r="S10" s="1226"/>
      <c r="T10" s="1226"/>
      <c r="U10" s="1226"/>
      <c r="V10" s="1226"/>
      <c r="W10" s="1226"/>
      <c r="X10" s="1226"/>
      <c r="Y10" s="1227"/>
      <c r="Z10" s="1283"/>
      <c r="AA10" s="1287"/>
      <c r="AB10" s="1307"/>
      <c r="AC10" s="1265"/>
      <c r="AD10" s="1262"/>
      <c r="AE10" s="1265"/>
      <c r="AF10" s="1268"/>
      <c r="AG10" s="1256"/>
      <c r="AH10" s="1259"/>
      <c r="AI10" s="1256"/>
      <c r="AJ10" s="1218"/>
      <c r="AK10" s="1219"/>
      <c r="AL10" s="1219"/>
      <c r="AM10" s="1219"/>
      <c r="AN10" s="1219"/>
      <c r="AO10" s="1219"/>
      <c r="AP10" s="1219"/>
      <c r="AQ10" s="1220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226"/>
      <c r="O11" s="1226"/>
      <c r="P11" s="1226"/>
      <c r="Q11" s="1226"/>
      <c r="R11" s="1226"/>
      <c r="S11" s="1226"/>
      <c r="T11" s="1226"/>
      <c r="U11" s="1226"/>
      <c r="V11" s="1226"/>
      <c r="W11" s="1226"/>
      <c r="X11" s="1226"/>
      <c r="Y11" s="1227"/>
      <c r="Z11" s="1283"/>
      <c r="AA11" s="1287"/>
      <c r="AB11" s="1307"/>
      <c r="AC11" s="1265"/>
      <c r="AD11" s="1262"/>
      <c r="AE11" s="1265"/>
      <c r="AF11" s="1268"/>
      <c r="AG11" s="1256"/>
      <c r="AH11" s="1259"/>
      <c r="AI11" s="1256"/>
      <c r="AJ11" s="1218"/>
      <c r="AK11" s="1219"/>
      <c r="AL11" s="1219"/>
      <c r="AM11" s="1219"/>
      <c r="AN11" s="1219"/>
      <c r="AO11" s="1219"/>
      <c r="AP11" s="1219"/>
      <c r="AQ11" s="1220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228" t="str">
        <f>'2 - Kit Request'!C10</f>
        <v>Kenai River Baseline Water Quality Monitoring</v>
      </c>
      <c r="G12" s="1228"/>
      <c r="H12" s="1228"/>
      <c r="I12" s="1228"/>
      <c r="J12" s="1228"/>
      <c r="K12" s="1228"/>
      <c r="L12" s="1228"/>
      <c r="M12" s="1228"/>
      <c r="N12" s="1228"/>
      <c r="O12" s="1228"/>
      <c r="P12" s="1228"/>
      <c r="Q12" s="1228"/>
      <c r="R12" s="1228"/>
      <c r="S12" s="1228"/>
      <c r="T12" s="1228"/>
      <c r="U12" s="1228"/>
      <c r="V12" s="1228"/>
      <c r="W12" s="1228"/>
      <c r="X12" s="1228"/>
      <c r="Y12" s="1229"/>
      <c r="Z12" s="1283"/>
      <c r="AA12" s="1287"/>
      <c r="AB12" s="1307"/>
      <c r="AC12" s="1265"/>
      <c r="AD12" s="1262"/>
      <c r="AE12" s="1265"/>
      <c r="AF12" s="1268"/>
      <c r="AG12" s="1256"/>
      <c r="AH12" s="1259"/>
      <c r="AI12" s="1256"/>
      <c r="AJ12" s="1218"/>
      <c r="AK12" s="1219"/>
      <c r="AL12" s="1219"/>
      <c r="AM12" s="1219"/>
      <c r="AN12" s="1219"/>
      <c r="AO12" s="1219"/>
      <c r="AP12" s="1219"/>
      <c r="AQ12" s="1220"/>
      <c r="AR12" s="252"/>
    </row>
    <row r="13" spans="1:45" ht="17.45" customHeight="1">
      <c r="A13" s="1211" t="s">
        <v>825</v>
      </c>
      <c r="B13" s="1212"/>
      <c r="C13" s="1212"/>
      <c r="D13" s="1212"/>
      <c r="E13" s="1212"/>
      <c r="F13" s="1212"/>
      <c r="G13" s="1212"/>
      <c r="H13" s="1212"/>
      <c r="I13" s="1212"/>
      <c r="J13" s="1212"/>
      <c r="K13" s="1212"/>
      <c r="L13" s="1212"/>
      <c r="M13" s="1212"/>
      <c r="N13" s="1212"/>
      <c r="O13" s="1212"/>
      <c r="P13" s="1212"/>
      <c r="Q13" s="1212"/>
      <c r="R13" s="1212"/>
      <c r="S13" s="1212"/>
      <c r="T13" s="1212"/>
      <c r="U13" s="1212"/>
      <c r="V13" s="1212"/>
      <c r="W13" s="1212"/>
      <c r="X13" s="1212"/>
      <c r="Y13" s="1212"/>
      <c r="Z13" s="1283"/>
      <c r="AA13" s="1287"/>
      <c r="AB13" s="1307"/>
      <c r="AC13" s="1265"/>
      <c r="AD13" s="1262"/>
      <c r="AE13" s="1265"/>
      <c r="AF13" s="1268"/>
      <c r="AG13" s="1256"/>
      <c r="AH13" s="1259"/>
      <c r="AI13" s="1256"/>
      <c r="AJ13" s="1218"/>
      <c r="AK13" s="1219"/>
      <c r="AL13" s="1219"/>
      <c r="AM13" s="1219"/>
      <c r="AN13" s="1219"/>
      <c r="AO13" s="1219"/>
      <c r="AP13" s="1219"/>
      <c r="AQ13" s="1220"/>
      <c r="AR13" s="252"/>
    </row>
    <row r="14" spans="1:45" ht="17.45" customHeight="1">
      <c r="A14" s="418" t="s">
        <v>824</v>
      </c>
      <c r="B14" s="418"/>
      <c r="C14" s="418"/>
      <c r="D14" s="418"/>
      <c r="E14" s="1230"/>
      <c r="F14" s="1231"/>
      <c r="G14" s="1231"/>
      <c r="H14" s="1231"/>
      <c r="I14" s="1231"/>
      <c r="J14" s="1231"/>
      <c r="K14" s="1231"/>
      <c r="L14" s="1231"/>
      <c r="M14" s="1232"/>
      <c r="N14" s="418" t="s">
        <v>823</v>
      </c>
      <c r="O14" s="418"/>
      <c r="P14" s="418"/>
      <c r="Q14" s="1230"/>
      <c r="R14" s="1231"/>
      <c r="S14" s="1231"/>
      <c r="T14" s="1231"/>
      <c r="U14" s="1231"/>
      <c r="V14" s="1231"/>
      <c r="W14" s="1231"/>
      <c r="X14" s="1231"/>
      <c r="Y14" s="1232"/>
      <c r="Z14" s="1284"/>
      <c r="AA14" s="1287"/>
      <c r="AB14" s="1307"/>
      <c r="AC14" s="1265"/>
      <c r="AD14" s="1262"/>
      <c r="AE14" s="1265"/>
      <c r="AF14" s="1268"/>
      <c r="AG14" s="1256"/>
      <c r="AH14" s="1259"/>
      <c r="AI14" s="1256"/>
      <c r="AJ14" s="1218"/>
      <c r="AK14" s="1219"/>
      <c r="AL14" s="1219"/>
      <c r="AM14" s="1219"/>
      <c r="AN14" s="1219"/>
      <c r="AO14" s="1219"/>
      <c r="AP14" s="1219"/>
      <c r="AQ14" s="1220"/>
      <c r="AR14" s="252"/>
    </row>
    <row r="15" spans="1:45" ht="26.45" customHeight="1">
      <c r="A15" s="1292" t="s">
        <v>822</v>
      </c>
      <c r="B15" s="1209"/>
      <c r="C15" s="1209"/>
      <c r="D15" s="1209"/>
      <c r="E15" s="1209"/>
      <c r="F15" s="1209"/>
      <c r="G15" s="1209"/>
      <c r="H15" s="1209"/>
      <c r="I15" s="1209"/>
      <c r="J15" s="1209"/>
      <c r="K15" s="1209"/>
      <c r="L15" s="1209"/>
      <c r="M15" s="1209"/>
      <c r="N15" s="1209"/>
      <c r="O15" s="1209"/>
      <c r="P15" s="1209"/>
      <c r="Q15" s="1209"/>
      <c r="R15" s="1209"/>
      <c r="S15" s="1209"/>
      <c r="T15" s="1209"/>
      <c r="U15" s="1209"/>
      <c r="V15" s="1209"/>
      <c r="W15" s="1209"/>
      <c r="X15" s="1209"/>
      <c r="Y15" s="1209"/>
      <c r="Z15" s="1283"/>
      <c r="AA15" s="1287"/>
      <c r="AB15" s="1307"/>
      <c r="AC15" s="1265"/>
      <c r="AD15" s="1262"/>
      <c r="AE15" s="1265"/>
      <c r="AF15" s="1268"/>
      <c r="AG15" s="1256"/>
      <c r="AH15" s="1259"/>
      <c r="AI15" s="1256"/>
      <c r="AJ15" s="1218"/>
      <c r="AK15" s="1219"/>
      <c r="AL15" s="1219"/>
      <c r="AM15" s="1219"/>
      <c r="AN15" s="1219"/>
      <c r="AO15" s="1219"/>
      <c r="AP15" s="1219"/>
      <c r="AQ15" s="1220"/>
      <c r="AR15" s="252"/>
    </row>
    <row r="16" spans="1:45" ht="18" customHeight="1">
      <c r="A16" s="1293"/>
      <c r="B16" s="1209"/>
      <c r="C16" s="1209"/>
      <c r="D16" s="1209"/>
      <c r="E16" s="1209"/>
      <c r="F16" s="1209"/>
      <c r="G16" s="1209"/>
      <c r="H16" s="1209"/>
      <c r="I16" s="1209"/>
      <c r="J16" s="1209"/>
      <c r="K16" s="1209"/>
      <c r="L16" s="1209"/>
      <c r="M16" s="1209"/>
      <c r="N16" s="1209"/>
      <c r="O16" s="1209"/>
      <c r="P16" s="1209"/>
      <c r="Q16" s="1209"/>
      <c r="R16" s="1209"/>
      <c r="S16" s="1209"/>
      <c r="T16" s="1209"/>
      <c r="U16" s="1209"/>
      <c r="V16" s="1209"/>
      <c r="W16" s="1209"/>
      <c r="X16" s="1209"/>
      <c r="Y16" s="1209"/>
      <c r="Z16" s="1283"/>
      <c r="AA16" s="1287"/>
      <c r="AB16" s="1307"/>
      <c r="AC16" s="1265"/>
      <c r="AD16" s="1262"/>
      <c r="AE16" s="1265"/>
      <c r="AF16" s="1268"/>
      <c r="AG16" s="1256"/>
      <c r="AH16" s="1259"/>
      <c r="AI16" s="1256"/>
      <c r="AJ16" s="1218"/>
      <c r="AK16" s="1219"/>
      <c r="AL16" s="1219"/>
      <c r="AM16" s="1219"/>
      <c r="AN16" s="1219"/>
      <c r="AO16" s="1219"/>
      <c r="AP16" s="1219"/>
      <c r="AQ16" s="1220"/>
      <c r="AR16" s="252"/>
    </row>
    <row r="17" spans="1:44" ht="18" customHeight="1">
      <c r="A17" s="1293"/>
      <c r="B17" s="1209"/>
      <c r="C17" s="1209"/>
      <c r="D17" s="1209"/>
      <c r="E17" s="1209"/>
      <c r="F17" s="1209"/>
      <c r="G17" s="1209"/>
      <c r="H17" s="1209"/>
      <c r="I17" s="1209"/>
      <c r="J17" s="1209"/>
      <c r="K17" s="1209"/>
      <c r="L17" s="1209"/>
      <c r="M17" s="1209"/>
      <c r="N17" s="1209"/>
      <c r="O17" s="1209"/>
      <c r="P17" s="1209"/>
      <c r="Q17" s="1209"/>
      <c r="R17" s="1209"/>
      <c r="S17" s="1209"/>
      <c r="T17" s="1209"/>
      <c r="U17" s="1209"/>
      <c r="V17" s="1209"/>
      <c r="W17" s="1209"/>
      <c r="X17" s="1209"/>
      <c r="Y17" s="1209"/>
      <c r="Z17" s="1283"/>
      <c r="AA17" s="1287"/>
      <c r="AB17" s="1307"/>
      <c r="AC17" s="1265"/>
      <c r="AD17" s="1262"/>
      <c r="AE17" s="1265"/>
      <c r="AF17" s="1268"/>
      <c r="AG17" s="1256"/>
      <c r="AH17" s="1259"/>
      <c r="AI17" s="1256"/>
      <c r="AJ17" s="1218"/>
      <c r="AK17" s="1219"/>
      <c r="AL17" s="1219"/>
      <c r="AM17" s="1219"/>
      <c r="AN17" s="1219"/>
      <c r="AO17" s="1219"/>
      <c r="AP17" s="1219"/>
      <c r="AQ17" s="1220"/>
      <c r="AR17" s="252"/>
    </row>
    <row r="18" spans="1:44" ht="18" customHeight="1">
      <c r="A18" s="1294"/>
      <c r="B18" s="1295"/>
      <c r="C18" s="1295"/>
      <c r="D18" s="1295"/>
      <c r="E18" s="1295"/>
      <c r="F18" s="1295"/>
      <c r="G18" s="1295"/>
      <c r="H18" s="1295"/>
      <c r="I18" s="1295"/>
      <c r="J18" s="1295"/>
      <c r="K18" s="1295"/>
      <c r="L18" s="1295"/>
      <c r="M18" s="1295"/>
      <c r="N18" s="1209"/>
      <c r="O18" s="1209"/>
      <c r="P18" s="1209"/>
      <c r="Q18" s="1209"/>
      <c r="R18" s="1209"/>
      <c r="S18" s="1209"/>
      <c r="T18" s="1209"/>
      <c r="U18" s="1209"/>
      <c r="V18" s="1209"/>
      <c r="W18" s="1209"/>
      <c r="X18" s="1209"/>
      <c r="Y18" s="1209"/>
      <c r="Z18" s="1283"/>
      <c r="AA18" s="1287"/>
      <c r="AB18" s="1307"/>
      <c r="AC18" s="1265"/>
      <c r="AD18" s="1262"/>
      <c r="AE18" s="1265"/>
      <c r="AF18" s="1268"/>
      <c r="AG18" s="1256"/>
      <c r="AH18" s="1259"/>
      <c r="AI18" s="1256"/>
      <c r="AJ18" s="1218"/>
      <c r="AK18" s="1219"/>
      <c r="AL18" s="1219"/>
      <c r="AM18" s="1219"/>
      <c r="AN18" s="1219"/>
      <c r="AO18" s="1219"/>
      <c r="AP18" s="1219"/>
      <c r="AQ18" s="1220"/>
      <c r="AR18" s="252"/>
    </row>
    <row r="19" spans="1:44" ht="18" customHeight="1">
      <c r="A19" s="1296" t="s">
        <v>821</v>
      </c>
      <c r="B19" s="1297"/>
      <c r="C19" s="1297"/>
      <c r="D19" s="1297"/>
      <c r="E19" s="1297"/>
      <c r="F19" s="1297"/>
      <c r="G19" s="1297"/>
      <c r="H19" s="1297"/>
      <c r="I19" s="1297"/>
      <c r="J19" s="1297"/>
      <c r="K19" s="1297"/>
      <c r="L19" s="1297"/>
      <c r="M19" s="1297"/>
      <c r="N19" s="1289" t="s">
        <v>29</v>
      </c>
      <c r="O19" s="1289"/>
      <c r="P19" s="1289"/>
      <c r="Q19" s="1289"/>
      <c r="R19" s="1289"/>
      <c r="S19" s="1289"/>
      <c r="T19" s="1289"/>
      <c r="U19" s="1289"/>
      <c r="V19" s="1289"/>
      <c r="W19" s="1289"/>
      <c r="X19" s="1289"/>
      <c r="Y19" s="1290"/>
      <c r="Z19" s="1283"/>
      <c r="AA19" s="1287"/>
      <c r="AB19" s="1307"/>
      <c r="AC19" s="1265"/>
      <c r="AD19" s="1262"/>
      <c r="AE19" s="1265"/>
      <c r="AF19" s="1268"/>
      <c r="AG19" s="1256"/>
      <c r="AH19" s="1259"/>
      <c r="AI19" s="1256"/>
      <c r="AJ19" s="1218"/>
      <c r="AK19" s="1219"/>
      <c r="AL19" s="1219"/>
      <c r="AM19" s="1219"/>
      <c r="AN19" s="1219"/>
      <c r="AO19" s="1219"/>
      <c r="AP19" s="1219"/>
      <c r="AQ19" s="1220"/>
      <c r="AR19" s="252"/>
    </row>
    <row r="20" spans="1:44" ht="18" customHeight="1">
      <c r="A20" s="1298"/>
      <c r="B20" s="1299"/>
      <c r="C20" s="1299"/>
      <c r="D20" s="1299"/>
      <c r="E20" s="1299"/>
      <c r="F20" s="1299"/>
      <c r="G20" s="1299"/>
      <c r="H20" s="1299"/>
      <c r="I20" s="1299"/>
      <c r="J20" s="1299"/>
      <c r="K20" s="1299"/>
      <c r="L20" s="1299"/>
      <c r="M20" s="1299"/>
      <c r="N20" s="1209"/>
      <c r="O20" s="1209"/>
      <c r="P20" s="1209"/>
      <c r="Q20" s="1209"/>
      <c r="R20" s="1209"/>
      <c r="S20" s="1209"/>
      <c r="T20" s="1209"/>
      <c r="U20" s="1209"/>
      <c r="V20" s="1209"/>
      <c r="W20" s="1209"/>
      <c r="X20" s="1209"/>
      <c r="Y20" s="1291"/>
      <c r="Z20" s="1283"/>
      <c r="AA20" s="1287"/>
      <c r="AB20" s="1307"/>
      <c r="AC20" s="1265"/>
      <c r="AD20" s="1262"/>
      <c r="AE20" s="1265"/>
      <c r="AF20" s="1268"/>
      <c r="AG20" s="1256"/>
      <c r="AH20" s="1259"/>
      <c r="AI20" s="1256"/>
      <c r="AJ20" s="1218"/>
      <c r="AK20" s="1219"/>
      <c r="AL20" s="1219"/>
      <c r="AM20" s="1219"/>
      <c r="AN20" s="1219"/>
      <c r="AO20" s="1219"/>
      <c r="AP20" s="1219"/>
      <c r="AQ20" s="1220"/>
      <c r="AR20" s="252"/>
    </row>
    <row r="21" spans="1:44" ht="18" customHeight="1">
      <c r="A21" s="1298"/>
      <c r="B21" s="1299"/>
      <c r="C21" s="1299"/>
      <c r="D21" s="1299"/>
      <c r="E21" s="1299"/>
      <c r="F21" s="1299"/>
      <c r="G21" s="1299"/>
      <c r="H21" s="1299"/>
      <c r="I21" s="1299"/>
      <c r="J21" s="1299"/>
      <c r="K21" s="1299"/>
      <c r="L21" s="1299"/>
      <c r="M21" s="1299"/>
      <c r="N21" s="1208" t="s">
        <v>440</v>
      </c>
      <c r="O21" s="1209"/>
      <c r="P21" s="1209"/>
      <c r="Q21" s="1209"/>
      <c r="R21" s="1209"/>
      <c r="S21" s="1209"/>
      <c r="T21" s="1209"/>
      <c r="U21" s="1209"/>
      <c r="V21" s="1209"/>
      <c r="W21" s="1209"/>
      <c r="X21" s="1209"/>
      <c r="Y21" s="1209"/>
      <c r="Z21" s="1283"/>
      <c r="AA21" s="1287"/>
      <c r="AB21" s="1307"/>
      <c r="AC21" s="1265"/>
      <c r="AD21" s="1262"/>
      <c r="AE21" s="1265"/>
      <c r="AF21" s="1268"/>
      <c r="AG21" s="1256"/>
      <c r="AH21" s="1259"/>
      <c r="AI21" s="1256"/>
      <c r="AJ21" s="1218"/>
      <c r="AK21" s="1219"/>
      <c r="AL21" s="1219"/>
      <c r="AM21" s="1219"/>
      <c r="AN21" s="1219"/>
      <c r="AO21" s="1219"/>
      <c r="AP21" s="1219"/>
      <c r="AQ21" s="1220"/>
      <c r="AR21" s="252"/>
    </row>
    <row r="22" spans="1:44" ht="18" customHeight="1" thickBot="1">
      <c r="A22" s="1300"/>
      <c r="B22" s="1301"/>
      <c r="C22" s="1301"/>
      <c r="D22" s="1301"/>
      <c r="E22" s="1301"/>
      <c r="F22" s="1301"/>
      <c r="G22" s="1301"/>
      <c r="H22" s="1301"/>
      <c r="I22" s="1301"/>
      <c r="J22" s="1301"/>
      <c r="K22" s="1301"/>
      <c r="L22" s="1301"/>
      <c r="M22" s="1301"/>
      <c r="N22" s="1210"/>
      <c r="O22" s="1210"/>
      <c r="P22" s="1210"/>
      <c r="Q22" s="1210"/>
      <c r="R22" s="1210"/>
      <c r="S22" s="1210"/>
      <c r="T22" s="1210"/>
      <c r="U22" s="1210"/>
      <c r="V22" s="1210"/>
      <c r="W22" s="1210"/>
      <c r="X22" s="1210"/>
      <c r="Y22" s="1210"/>
      <c r="Z22" s="1283"/>
      <c r="AA22" s="1287"/>
      <c r="AB22" s="1307"/>
      <c r="AC22" s="1265"/>
      <c r="AD22" s="1262"/>
      <c r="AE22" s="1265"/>
      <c r="AF22" s="1268"/>
      <c r="AG22" s="1256"/>
      <c r="AH22" s="1259"/>
      <c r="AI22" s="1256"/>
      <c r="AJ22" s="1218"/>
      <c r="AK22" s="1219"/>
      <c r="AL22" s="1219"/>
      <c r="AM22" s="1219"/>
      <c r="AN22" s="1219"/>
      <c r="AO22" s="1219"/>
      <c r="AP22" s="1219"/>
      <c r="AQ22" s="1220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13" t="s">
        <v>820</v>
      </c>
      <c r="S23" s="1201"/>
      <c r="T23" s="1201"/>
      <c r="U23" s="1214"/>
      <c r="V23" s="1213" t="s">
        <v>820</v>
      </c>
      <c r="W23" s="1201"/>
      <c r="X23" s="1201"/>
      <c r="Y23" s="1201"/>
      <c r="Z23" s="1283"/>
      <c r="AA23" s="1287"/>
      <c r="AB23" s="1307"/>
      <c r="AC23" s="1265"/>
      <c r="AD23" s="1262"/>
      <c r="AE23" s="1265"/>
      <c r="AF23" s="1268"/>
      <c r="AG23" s="1256"/>
      <c r="AH23" s="1259"/>
      <c r="AI23" s="1256"/>
      <c r="AJ23" s="1218"/>
      <c r="AK23" s="1219"/>
      <c r="AL23" s="1219"/>
      <c r="AM23" s="1219"/>
      <c r="AN23" s="1219"/>
      <c r="AO23" s="1219"/>
      <c r="AP23" s="1219"/>
      <c r="AQ23" s="1220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36" t="s">
        <v>11</v>
      </c>
      <c r="S24" s="1234"/>
      <c r="T24" s="1234"/>
      <c r="U24" s="1237"/>
      <c r="V24" s="1236" t="s">
        <v>12</v>
      </c>
      <c r="W24" s="1234"/>
      <c r="X24" s="1234"/>
      <c r="Y24" s="1234"/>
      <c r="Z24" s="1285"/>
      <c r="AA24" s="1288"/>
      <c r="AB24" s="1308"/>
      <c r="AC24" s="1266"/>
      <c r="AD24" s="1263"/>
      <c r="AE24" s="1266"/>
      <c r="AF24" s="1269"/>
      <c r="AG24" s="1257"/>
      <c r="AH24" s="1260"/>
      <c r="AI24" s="1257"/>
      <c r="AJ24" s="1221"/>
      <c r="AK24" s="1222"/>
      <c r="AL24" s="1222"/>
      <c r="AM24" s="1222"/>
      <c r="AN24" s="1222"/>
      <c r="AO24" s="1222"/>
      <c r="AP24" s="1222"/>
      <c r="AQ24" s="1223"/>
      <c r="AR24" s="252"/>
    </row>
    <row r="25" spans="1:44" ht="14.1" customHeight="1">
      <c r="A25" s="1277"/>
      <c r="B25" s="1278"/>
      <c r="C25" s="1278"/>
      <c r="D25" s="1279"/>
      <c r="E25" s="1213"/>
      <c r="F25" s="1201"/>
      <c r="G25" s="1201"/>
      <c r="H25" s="1201"/>
      <c r="I25" s="1201"/>
      <c r="J25" s="1201"/>
      <c r="K25" s="1201"/>
      <c r="L25" s="1201"/>
      <c r="M25" s="1201"/>
      <c r="N25" s="1201"/>
      <c r="O25" s="1201"/>
      <c r="P25" s="1201"/>
      <c r="Q25" s="1214"/>
      <c r="R25" s="1253"/>
      <c r="S25" s="1253"/>
      <c r="T25" s="1253"/>
      <c r="U25" s="1253"/>
      <c r="V25" s="1253"/>
      <c r="W25" s="1253"/>
      <c r="X25" s="1254"/>
      <c r="Y25" s="1251"/>
      <c r="Z25" s="1248"/>
      <c r="AA25" s="1280"/>
      <c r="AB25" s="1248"/>
      <c r="AC25" s="1280"/>
      <c r="AD25" s="1248"/>
      <c r="AE25" s="1249"/>
      <c r="AF25" s="1248"/>
      <c r="AG25" s="1249"/>
      <c r="AH25" s="1248"/>
      <c r="AI25" s="1249"/>
      <c r="AJ25" s="1200"/>
      <c r="AK25" s="1201"/>
      <c r="AL25" s="1201"/>
      <c r="AM25" s="1201"/>
      <c r="AN25" s="1201"/>
      <c r="AO25" s="1201"/>
      <c r="AP25" s="1201"/>
      <c r="AQ25" s="1202"/>
      <c r="AR25" s="252"/>
    </row>
    <row r="26" spans="1:44" ht="14.1" customHeight="1">
      <c r="A26" s="307"/>
      <c r="B26" s="306"/>
      <c r="C26" s="306"/>
      <c r="D26" s="305"/>
      <c r="E26" s="1213"/>
      <c r="F26" s="1201"/>
      <c r="G26" s="1201"/>
      <c r="H26" s="1201"/>
      <c r="I26" s="1201"/>
      <c r="J26" s="1201"/>
      <c r="K26" s="1201"/>
      <c r="L26" s="1201"/>
      <c r="M26" s="1201"/>
      <c r="N26" s="1201"/>
      <c r="O26" s="1201"/>
      <c r="P26" s="1201"/>
      <c r="Q26" s="1214"/>
      <c r="R26" s="1253"/>
      <c r="S26" s="1253"/>
      <c r="T26" s="1253"/>
      <c r="U26" s="1253"/>
      <c r="V26" s="1253"/>
      <c r="W26" s="1253"/>
      <c r="X26" s="1254"/>
      <c r="Y26" s="1251"/>
      <c r="Z26" s="1250"/>
      <c r="AA26" s="1253"/>
      <c r="AB26" s="1250"/>
      <c r="AC26" s="1253"/>
      <c r="AD26" s="1250"/>
      <c r="AE26" s="1251"/>
      <c r="AF26" s="1250"/>
      <c r="AG26" s="1251"/>
      <c r="AH26" s="1250"/>
      <c r="AI26" s="1251"/>
      <c r="AJ26" s="1200"/>
      <c r="AK26" s="1201"/>
      <c r="AL26" s="1201"/>
      <c r="AM26" s="1201"/>
      <c r="AN26" s="1201"/>
      <c r="AO26" s="1201"/>
      <c r="AP26" s="1201"/>
      <c r="AQ26" s="1202"/>
      <c r="AR26" s="252"/>
    </row>
    <row r="27" spans="1:44" ht="14.1" customHeight="1">
      <c r="A27" s="1274"/>
      <c r="B27" s="1275"/>
      <c r="C27" s="1275"/>
      <c r="D27" s="1276"/>
      <c r="E27" s="1254"/>
      <c r="F27" s="1204"/>
      <c r="G27" s="1204"/>
      <c r="H27" s="1204"/>
      <c r="I27" s="1204"/>
      <c r="J27" s="1204"/>
      <c r="K27" s="1204"/>
      <c r="L27" s="1204"/>
      <c r="M27" s="1204"/>
      <c r="N27" s="1204"/>
      <c r="O27" s="1204"/>
      <c r="P27" s="1204"/>
      <c r="Q27" s="1281"/>
      <c r="R27" s="1238"/>
      <c r="S27" s="1238"/>
      <c r="T27" s="1238"/>
      <c r="U27" s="1238"/>
      <c r="V27" s="1238"/>
      <c r="W27" s="1238"/>
      <c r="X27" s="1239"/>
      <c r="Y27" s="1207"/>
      <c r="Z27" s="1206"/>
      <c r="AA27" s="1238"/>
      <c r="AB27" s="1206"/>
      <c r="AC27" s="1238"/>
      <c r="AD27" s="1206"/>
      <c r="AE27" s="1207"/>
      <c r="AF27" s="1206"/>
      <c r="AG27" s="1207"/>
      <c r="AH27" s="1206"/>
      <c r="AI27" s="1207"/>
      <c r="AJ27" s="1203"/>
      <c r="AK27" s="1204"/>
      <c r="AL27" s="1204"/>
      <c r="AM27" s="1204"/>
      <c r="AN27" s="1204"/>
      <c r="AO27" s="1204"/>
      <c r="AP27" s="1204"/>
      <c r="AQ27" s="1205"/>
      <c r="AR27" s="252"/>
    </row>
    <row r="28" spans="1:44" ht="14.1" customHeight="1">
      <c r="A28" s="1271"/>
      <c r="B28" s="1272"/>
      <c r="C28" s="1272"/>
      <c r="D28" s="1273"/>
      <c r="E28" s="1241"/>
      <c r="F28" s="1198"/>
      <c r="G28" s="1198"/>
      <c r="H28" s="1198"/>
      <c r="I28" s="1198"/>
      <c r="J28" s="1198"/>
      <c r="K28" s="1198"/>
      <c r="L28" s="1198"/>
      <c r="M28" s="1198"/>
      <c r="N28" s="1198"/>
      <c r="O28" s="1198"/>
      <c r="P28" s="1198"/>
      <c r="Q28" s="1302"/>
      <c r="R28" s="1238"/>
      <c r="S28" s="1238"/>
      <c r="T28" s="1238"/>
      <c r="U28" s="1238"/>
      <c r="V28" s="1238"/>
      <c r="W28" s="1238"/>
      <c r="X28" s="1239"/>
      <c r="Y28" s="1207"/>
      <c r="Z28" s="1206"/>
      <c r="AA28" s="1238"/>
      <c r="AB28" s="1206"/>
      <c r="AC28" s="1238"/>
      <c r="AD28" s="1206"/>
      <c r="AE28" s="1207"/>
      <c r="AF28" s="1206"/>
      <c r="AG28" s="1207"/>
      <c r="AH28" s="1206"/>
      <c r="AI28" s="1207"/>
      <c r="AJ28" s="1197"/>
      <c r="AK28" s="1198"/>
      <c r="AL28" s="1198"/>
      <c r="AM28" s="1198"/>
      <c r="AN28" s="1198"/>
      <c r="AO28" s="1198"/>
      <c r="AP28" s="1198"/>
      <c r="AQ28" s="1199"/>
      <c r="AR28" s="252"/>
    </row>
    <row r="29" spans="1:44" ht="14.1" customHeight="1">
      <c r="A29" s="307"/>
      <c r="B29" s="306"/>
      <c r="C29" s="306"/>
      <c r="D29" s="305"/>
      <c r="E29" s="1213"/>
      <c r="F29" s="1201"/>
      <c r="G29" s="1201"/>
      <c r="H29" s="1201"/>
      <c r="I29" s="1201"/>
      <c r="J29" s="1201"/>
      <c r="K29" s="1201"/>
      <c r="L29" s="1201"/>
      <c r="M29" s="1201"/>
      <c r="N29" s="1201"/>
      <c r="O29" s="1201"/>
      <c r="P29" s="1201"/>
      <c r="Q29" s="1214"/>
      <c r="R29" s="1238"/>
      <c r="S29" s="1238"/>
      <c r="T29" s="1238"/>
      <c r="U29" s="1238"/>
      <c r="V29" s="1238"/>
      <c r="W29" s="1238"/>
      <c r="X29" s="1239"/>
      <c r="Y29" s="1207"/>
      <c r="Z29" s="1206"/>
      <c r="AA29" s="1238"/>
      <c r="AB29" s="1206"/>
      <c r="AC29" s="1238"/>
      <c r="AD29" s="1206"/>
      <c r="AE29" s="1207"/>
      <c r="AF29" s="1206"/>
      <c r="AG29" s="1207"/>
      <c r="AH29" s="1206"/>
      <c r="AI29" s="1207"/>
      <c r="AJ29" s="1200"/>
      <c r="AK29" s="1201"/>
      <c r="AL29" s="1201"/>
      <c r="AM29" s="1201"/>
      <c r="AN29" s="1201"/>
      <c r="AO29" s="1201"/>
      <c r="AP29" s="1201"/>
      <c r="AQ29" s="1202"/>
      <c r="AR29" s="252"/>
    </row>
    <row r="30" spans="1:44" ht="14.1" customHeight="1">
      <c r="A30" s="1274"/>
      <c r="B30" s="1275"/>
      <c r="C30" s="1275"/>
      <c r="D30" s="1276"/>
      <c r="E30" s="125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81"/>
      <c r="R30" s="1238"/>
      <c r="S30" s="1238"/>
      <c r="T30" s="1238"/>
      <c r="U30" s="1238"/>
      <c r="V30" s="1238"/>
      <c r="W30" s="1238"/>
      <c r="X30" s="1239"/>
      <c r="Y30" s="1207"/>
      <c r="Z30" s="1206"/>
      <c r="AA30" s="1238"/>
      <c r="AB30" s="1206"/>
      <c r="AC30" s="1238"/>
      <c r="AD30" s="1206"/>
      <c r="AE30" s="1207"/>
      <c r="AF30" s="1206"/>
      <c r="AG30" s="1207"/>
      <c r="AH30" s="1206"/>
      <c r="AI30" s="1207"/>
      <c r="AJ30" s="1203"/>
      <c r="AK30" s="1204"/>
      <c r="AL30" s="1204"/>
      <c r="AM30" s="1204"/>
      <c r="AN30" s="1204"/>
      <c r="AO30" s="1204"/>
      <c r="AP30" s="1204"/>
      <c r="AQ30" s="1205"/>
      <c r="AR30" s="252"/>
    </row>
    <row r="31" spans="1:44" ht="14.1" customHeight="1">
      <c r="A31" s="1271"/>
      <c r="B31" s="1272"/>
      <c r="C31" s="1272"/>
      <c r="D31" s="1273"/>
      <c r="E31" s="1241"/>
      <c r="F31" s="1198"/>
      <c r="G31" s="1198"/>
      <c r="H31" s="1198"/>
      <c r="I31" s="1198"/>
      <c r="J31" s="1198"/>
      <c r="K31" s="1198"/>
      <c r="L31" s="1198"/>
      <c r="M31" s="1198"/>
      <c r="N31" s="1198"/>
      <c r="O31" s="1198"/>
      <c r="P31" s="1198"/>
      <c r="Q31" s="1302"/>
      <c r="R31" s="1238"/>
      <c r="S31" s="1238"/>
      <c r="T31" s="1238"/>
      <c r="U31" s="1238"/>
      <c r="V31" s="1238"/>
      <c r="W31" s="1238"/>
      <c r="X31" s="1239"/>
      <c r="Y31" s="1207"/>
      <c r="Z31" s="1206"/>
      <c r="AA31" s="1238"/>
      <c r="AB31" s="1206"/>
      <c r="AC31" s="1238"/>
      <c r="AD31" s="1206"/>
      <c r="AE31" s="1207"/>
      <c r="AF31" s="1206"/>
      <c r="AG31" s="1207"/>
      <c r="AH31" s="1206"/>
      <c r="AI31" s="1207"/>
      <c r="AJ31" s="1197"/>
      <c r="AK31" s="1198"/>
      <c r="AL31" s="1198"/>
      <c r="AM31" s="1198"/>
      <c r="AN31" s="1198"/>
      <c r="AO31" s="1198"/>
      <c r="AP31" s="1198"/>
      <c r="AQ31" s="1199"/>
      <c r="AR31" s="252"/>
    </row>
    <row r="32" spans="1:44" ht="14.1" customHeight="1">
      <c r="A32" s="307"/>
      <c r="B32" s="306"/>
      <c r="C32" s="306"/>
      <c r="D32" s="305"/>
      <c r="E32" s="1213"/>
      <c r="F32" s="1201"/>
      <c r="G32" s="1201"/>
      <c r="H32" s="1201"/>
      <c r="I32" s="1201"/>
      <c r="J32" s="1201"/>
      <c r="K32" s="1201"/>
      <c r="L32" s="1201"/>
      <c r="M32" s="1201"/>
      <c r="N32" s="1201"/>
      <c r="O32" s="1201"/>
      <c r="P32" s="1201"/>
      <c r="Q32" s="1214"/>
      <c r="R32" s="1238"/>
      <c r="S32" s="1238"/>
      <c r="T32" s="1238"/>
      <c r="U32" s="1238"/>
      <c r="V32" s="1238"/>
      <c r="W32" s="1238"/>
      <c r="X32" s="1239"/>
      <c r="Y32" s="1207"/>
      <c r="Z32" s="1206"/>
      <c r="AA32" s="1238"/>
      <c r="AB32" s="1206"/>
      <c r="AC32" s="1238"/>
      <c r="AD32" s="1206"/>
      <c r="AE32" s="1207"/>
      <c r="AF32" s="1206"/>
      <c r="AG32" s="1207"/>
      <c r="AH32" s="1206"/>
      <c r="AI32" s="1207"/>
      <c r="AJ32" s="1200"/>
      <c r="AK32" s="1201"/>
      <c r="AL32" s="1201"/>
      <c r="AM32" s="1201"/>
      <c r="AN32" s="1201"/>
      <c r="AO32" s="1201"/>
      <c r="AP32" s="1201"/>
      <c r="AQ32" s="1202"/>
      <c r="AR32" s="252"/>
    </row>
    <row r="33" spans="1:48" ht="14.1" customHeight="1">
      <c r="A33" s="1274"/>
      <c r="B33" s="1275"/>
      <c r="C33" s="1275"/>
      <c r="D33" s="1276"/>
      <c r="E33" s="1254"/>
      <c r="F33" s="1204"/>
      <c r="G33" s="1204"/>
      <c r="H33" s="1204"/>
      <c r="I33" s="1204"/>
      <c r="J33" s="1204"/>
      <c r="K33" s="1204"/>
      <c r="L33" s="1204"/>
      <c r="M33" s="1204"/>
      <c r="N33" s="1204"/>
      <c r="O33" s="1204"/>
      <c r="P33" s="1204"/>
      <c r="Q33" s="1281"/>
      <c r="R33" s="1238"/>
      <c r="S33" s="1238"/>
      <c r="T33" s="1238"/>
      <c r="U33" s="1238"/>
      <c r="V33" s="1238"/>
      <c r="W33" s="1238"/>
      <c r="X33" s="1239"/>
      <c r="Y33" s="1207"/>
      <c r="Z33" s="1206"/>
      <c r="AA33" s="1238"/>
      <c r="AB33" s="1206"/>
      <c r="AC33" s="1238"/>
      <c r="AD33" s="1206"/>
      <c r="AE33" s="1207"/>
      <c r="AF33" s="1206"/>
      <c r="AG33" s="1207"/>
      <c r="AH33" s="1206"/>
      <c r="AI33" s="1207"/>
      <c r="AJ33" s="1203"/>
      <c r="AK33" s="1204"/>
      <c r="AL33" s="1204"/>
      <c r="AM33" s="1204"/>
      <c r="AN33" s="1204"/>
      <c r="AO33" s="1204"/>
      <c r="AP33" s="1204"/>
      <c r="AQ33" s="1205"/>
      <c r="AR33" s="252"/>
    </row>
    <row r="34" spans="1:48" ht="14.1" customHeight="1">
      <c r="A34" s="1271"/>
      <c r="B34" s="1272"/>
      <c r="C34" s="1272"/>
      <c r="D34" s="1273"/>
      <c r="E34" s="1241"/>
      <c r="F34" s="1198"/>
      <c r="G34" s="1198"/>
      <c r="H34" s="1198"/>
      <c r="I34" s="1198"/>
      <c r="J34" s="1198"/>
      <c r="K34" s="1198"/>
      <c r="L34" s="1198"/>
      <c r="M34" s="1198"/>
      <c r="N34" s="1198"/>
      <c r="O34" s="1198"/>
      <c r="P34" s="1198"/>
      <c r="Q34" s="1302"/>
      <c r="R34" s="1238"/>
      <c r="S34" s="1238"/>
      <c r="T34" s="1238"/>
      <c r="U34" s="1238"/>
      <c r="V34" s="1238"/>
      <c r="W34" s="1238"/>
      <c r="X34" s="1239"/>
      <c r="Y34" s="1207"/>
      <c r="Z34" s="1206"/>
      <c r="AA34" s="1238"/>
      <c r="AB34" s="1206"/>
      <c r="AC34" s="1238"/>
      <c r="AD34" s="1206"/>
      <c r="AE34" s="1207"/>
      <c r="AF34" s="1206"/>
      <c r="AG34" s="1207"/>
      <c r="AH34" s="1206"/>
      <c r="AI34" s="1207"/>
      <c r="AJ34" s="1197"/>
      <c r="AK34" s="1198"/>
      <c r="AL34" s="1198"/>
      <c r="AM34" s="1198"/>
      <c r="AN34" s="1198"/>
      <c r="AO34" s="1198"/>
      <c r="AP34" s="1198"/>
      <c r="AQ34" s="1199"/>
      <c r="AR34" s="252"/>
    </row>
    <row r="35" spans="1:48" ht="14.1" customHeight="1">
      <c r="A35" s="307"/>
      <c r="B35" s="306"/>
      <c r="C35" s="306"/>
      <c r="D35" s="305"/>
      <c r="E35" s="1213"/>
      <c r="F35" s="1201"/>
      <c r="G35" s="1201"/>
      <c r="H35" s="1201"/>
      <c r="I35" s="1201"/>
      <c r="J35" s="1201"/>
      <c r="K35" s="1201"/>
      <c r="L35" s="1201"/>
      <c r="M35" s="1201"/>
      <c r="N35" s="1201"/>
      <c r="O35" s="1201"/>
      <c r="P35" s="1201"/>
      <c r="Q35" s="1214"/>
      <c r="R35" s="1238"/>
      <c r="S35" s="1238"/>
      <c r="T35" s="1238"/>
      <c r="U35" s="1238"/>
      <c r="V35" s="1238"/>
      <c r="W35" s="1238"/>
      <c r="X35" s="1239"/>
      <c r="Y35" s="1207"/>
      <c r="Z35" s="1206"/>
      <c r="AA35" s="1238"/>
      <c r="AB35" s="1206"/>
      <c r="AC35" s="1238"/>
      <c r="AD35" s="1206"/>
      <c r="AE35" s="1207"/>
      <c r="AF35" s="1206"/>
      <c r="AG35" s="1207"/>
      <c r="AH35" s="1206"/>
      <c r="AI35" s="1207"/>
      <c r="AJ35" s="1200"/>
      <c r="AK35" s="1201"/>
      <c r="AL35" s="1201"/>
      <c r="AM35" s="1201"/>
      <c r="AN35" s="1201"/>
      <c r="AO35" s="1201"/>
      <c r="AP35" s="1201"/>
      <c r="AQ35" s="1202"/>
      <c r="AR35" s="252"/>
    </row>
    <row r="36" spans="1:48" ht="14.1" customHeight="1">
      <c r="A36" s="1274"/>
      <c r="B36" s="1275"/>
      <c r="C36" s="1275"/>
      <c r="D36" s="1276"/>
      <c r="E36" s="1254"/>
      <c r="F36" s="1204"/>
      <c r="G36" s="1204"/>
      <c r="H36" s="1204"/>
      <c r="I36" s="1204"/>
      <c r="J36" s="1204"/>
      <c r="K36" s="1204"/>
      <c r="L36" s="1204"/>
      <c r="M36" s="1204"/>
      <c r="N36" s="1204"/>
      <c r="O36" s="1204"/>
      <c r="P36" s="1204"/>
      <c r="Q36" s="1281"/>
      <c r="R36" s="1238"/>
      <c r="S36" s="1238"/>
      <c r="T36" s="1238"/>
      <c r="U36" s="1238"/>
      <c r="V36" s="1238"/>
      <c r="W36" s="1238"/>
      <c r="X36" s="1239"/>
      <c r="Y36" s="1207"/>
      <c r="Z36" s="1206"/>
      <c r="AA36" s="1238"/>
      <c r="AB36" s="1206"/>
      <c r="AC36" s="1238"/>
      <c r="AD36" s="1206"/>
      <c r="AE36" s="1207"/>
      <c r="AF36" s="1206"/>
      <c r="AG36" s="1207"/>
      <c r="AH36" s="1206"/>
      <c r="AI36" s="1207"/>
      <c r="AJ36" s="1203"/>
      <c r="AK36" s="1204"/>
      <c r="AL36" s="1204"/>
      <c r="AM36" s="1204"/>
      <c r="AN36" s="1204"/>
      <c r="AO36" s="1204"/>
      <c r="AP36" s="1204"/>
      <c r="AQ36" s="1205"/>
      <c r="AR36" s="252"/>
    </row>
    <row r="37" spans="1:48" ht="14.1" customHeight="1">
      <c r="A37" s="1271"/>
      <c r="B37" s="1272"/>
      <c r="C37" s="1272"/>
      <c r="D37" s="1273"/>
      <c r="E37" s="1241"/>
      <c r="F37" s="1198"/>
      <c r="G37" s="1198"/>
      <c r="H37" s="1198"/>
      <c r="I37" s="1198"/>
      <c r="J37" s="1198"/>
      <c r="K37" s="1198"/>
      <c r="L37" s="1198"/>
      <c r="M37" s="1198"/>
      <c r="N37" s="1198"/>
      <c r="O37" s="1198"/>
      <c r="P37" s="1198"/>
      <c r="Q37" s="1302"/>
      <c r="R37" s="1238"/>
      <c r="S37" s="1238"/>
      <c r="T37" s="1238"/>
      <c r="U37" s="1238"/>
      <c r="V37" s="1238"/>
      <c r="W37" s="1238"/>
      <c r="X37" s="1239"/>
      <c r="Y37" s="1207"/>
      <c r="Z37" s="1206"/>
      <c r="AA37" s="1238"/>
      <c r="AB37" s="1206"/>
      <c r="AC37" s="1238"/>
      <c r="AD37" s="1206"/>
      <c r="AE37" s="1207"/>
      <c r="AF37" s="1206"/>
      <c r="AG37" s="1207"/>
      <c r="AH37" s="1206"/>
      <c r="AI37" s="1207"/>
      <c r="AJ37" s="1197"/>
      <c r="AK37" s="1198"/>
      <c r="AL37" s="1198"/>
      <c r="AM37" s="1198"/>
      <c r="AN37" s="1198"/>
      <c r="AO37" s="1198"/>
      <c r="AP37" s="1198"/>
      <c r="AQ37" s="1199"/>
      <c r="AR37" s="252"/>
    </row>
    <row r="38" spans="1:48" ht="14.1" customHeight="1">
      <c r="A38" s="307"/>
      <c r="B38" s="306"/>
      <c r="C38" s="306"/>
      <c r="D38" s="305"/>
      <c r="E38" s="1213"/>
      <c r="F38" s="1201"/>
      <c r="G38" s="1201"/>
      <c r="H38" s="1201"/>
      <c r="I38" s="1201"/>
      <c r="J38" s="1201"/>
      <c r="K38" s="1201"/>
      <c r="L38" s="1201"/>
      <c r="M38" s="1201"/>
      <c r="N38" s="1201"/>
      <c r="O38" s="1201"/>
      <c r="P38" s="1201"/>
      <c r="Q38" s="1214"/>
      <c r="R38" s="1240"/>
      <c r="S38" s="1240"/>
      <c r="T38" s="1240"/>
      <c r="U38" s="1240"/>
      <c r="V38" s="1240"/>
      <c r="W38" s="1240"/>
      <c r="X38" s="1241"/>
      <c r="Y38" s="1242"/>
      <c r="Z38" s="1246"/>
      <c r="AA38" s="1240"/>
      <c r="AB38" s="1246"/>
      <c r="AC38" s="1240"/>
      <c r="AD38" s="1246"/>
      <c r="AE38" s="1242"/>
      <c r="AF38" s="1246"/>
      <c r="AG38" s="1242"/>
      <c r="AH38" s="1246"/>
      <c r="AI38" s="1242"/>
      <c r="AJ38" s="1200"/>
      <c r="AK38" s="1201"/>
      <c r="AL38" s="1201"/>
      <c r="AM38" s="1201"/>
      <c r="AN38" s="1201"/>
      <c r="AO38" s="1201"/>
      <c r="AP38" s="1201"/>
      <c r="AQ38" s="1202"/>
      <c r="AR38" s="252"/>
    </row>
    <row r="39" spans="1:48" s="253" customFormat="1" ht="14.1" customHeight="1" thickBot="1">
      <c r="A39" s="1303"/>
      <c r="B39" s="1304"/>
      <c r="C39" s="1304"/>
      <c r="D39" s="1305"/>
      <c r="E39" s="1236"/>
      <c r="F39" s="1234"/>
      <c r="G39" s="1234"/>
      <c r="H39" s="1234"/>
      <c r="I39" s="1234"/>
      <c r="J39" s="1234"/>
      <c r="K39" s="1234"/>
      <c r="L39" s="1234"/>
      <c r="M39" s="1234"/>
      <c r="N39" s="1234"/>
      <c r="O39" s="1234"/>
      <c r="P39" s="1234"/>
      <c r="Q39" s="1237"/>
      <c r="R39" s="1243"/>
      <c r="S39" s="1243"/>
      <c r="T39" s="1243"/>
      <c r="U39" s="1243"/>
      <c r="V39" s="1243"/>
      <c r="W39" s="1243"/>
      <c r="X39" s="1244"/>
      <c r="Y39" s="1245"/>
      <c r="Z39" s="1247"/>
      <c r="AA39" s="1243"/>
      <c r="AB39" s="1247"/>
      <c r="AC39" s="1243"/>
      <c r="AD39" s="1247"/>
      <c r="AE39" s="1245"/>
      <c r="AF39" s="1247"/>
      <c r="AG39" s="1245"/>
      <c r="AH39" s="1247"/>
      <c r="AI39" s="1245"/>
      <c r="AJ39" s="1233"/>
      <c r="AK39" s="1234"/>
      <c r="AL39" s="1234"/>
      <c r="AM39" s="1234"/>
      <c r="AN39" s="1234"/>
      <c r="AO39" s="1234"/>
      <c r="AP39" s="1234"/>
      <c r="AQ39" s="1235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  <mergeCell ref="V24:Y24"/>
    <mergeCell ref="Z9:Z24"/>
    <mergeCell ref="AA9:AA24"/>
    <mergeCell ref="Z25:AA27"/>
    <mergeCell ref="N19:Y20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A37:D37"/>
    <mergeCell ref="A34:D34"/>
    <mergeCell ref="A36:D36"/>
    <mergeCell ref="A30:D30"/>
    <mergeCell ref="A31:D31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50"/>
      <c r="C1" s="1351"/>
      <c r="D1" s="1351"/>
      <c r="E1" s="1351"/>
      <c r="F1" s="1352"/>
      <c r="G1" s="1367" t="s">
        <v>903</v>
      </c>
      <c r="H1" s="1367"/>
      <c r="I1" s="1368"/>
      <c r="J1" s="432"/>
    </row>
    <row r="2" spans="1:10" ht="18" customHeight="1">
      <c r="A2" s="443" t="s">
        <v>828</v>
      </c>
      <c r="B2" s="1347"/>
      <c r="C2" s="1348"/>
      <c r="D2" s="1348"/>
      <c r="E2" s="1348"/>
      <c r="F2" s="1349"/>
      <c r="G2" s="1369"/>
      <c r="H2" s="1369"/>
      <c r="I2" s="1370"/>
      <c r="J2" s="432"/>
    </row>
    <row r="3" spans="1:10" ht="14.25" customHeight="1" thickBot="1">
      <c r="A3" s="443" t="s">
        <v>711</v>
      </c>
      <c r="B3" s="1347"/>
      <c r="C3" s="1348"/>
      <c r="D3" s="1348"/>
      <c r="E3" s="1348"/>
      <c r="F3" s="1349"/>
      <c r="G3" s="1371"/>
      <c r="H3" s="1369"/>
      <c r="I3" s="1370"/>
      <c r="J3" s="432"/>
    </row>
    <row r="4" spans="1:10" ht="14.25" customHeight="1" thickBot="1">
      <c r="A4" s="443" t="s">
        <v>902</v>
      </c>
      <c r="B4" s="1374"/>
      <c r="C4" s="1374"/>
      <c r="D4" s="1374"/>
      <c r="E4" s="1328"/>
      <c r="F4" s="1328"/>
      <c r="G4" s="447" t="s">
        <v>901</v>
      </c>
      <c r="H4" s="1309"/>
      <c r="I4" s="1310"/>
      <c r="J4" s="432"/>
    </row>
    <row r="5" spans="1:10" ht="14.25" customHeight="1" thickBot="1">
      <c r="A5" s="446" t="s">
        <v>900</v>
      </c>
      <c r="B5" s="1316"/>
      <c r="C5" s="1317"/>
      <c r="D5" s="445" t="s">
        <v>827</v>
      </c>
      <c r="E5" s="1325"/>
      <c r="F5" s="1326"/>
      <c r="G5" s="444" t="s">
        <v>899</v>
      </c>
      <c r="H5" s="1309"/>
      <c r="I5" s="1310"/>
      <c r="J5" s="432"/>
    </row>
    <row r="6" spans="1:10" ht="14.25" customHeight="1" thickBot="1">
      <c r="A6" s="443" t="s">
        <v>674</v>
      </c>
      <c r="B6" s="1327"/>
      <c r="C6" s="1327"/>
      <c r="D6" s="1327"/>
      <c r="E6" s="1328"/>
      <c r="F6" s="1328"/>
      <c r="G6" s="444" t="s">
        <v>898</v>
      </c>
      <c r="H6" s="1309"/>
      <c r="I6" s="1310"/>
      <c r="J6" s="432"/>
    </row>
    <row r="7" spans="1:10" ht="15" customHeight="1" thickBot="1">
      <c r="A7" s="443" t="s">
        <v>897</v>
      </c>
      <c r="B7" s="1316"/>
      <c r="C7" s="1317"/>
      <c r="D7" s="1317"/>
      <c r="E7" s="1317"/>
      <c r="F7" s="1318"/>
      <c r="G7" s="1380" t="s">
        <v>896</v>
      </c>
      <c r="H7" s="1381"/>
      <c r="I7" s="442"/>
    </row>
    <row r="8" spans="1:10" ht="18" customHeight="1">
      <c r="A8" s="1382" t="s">
        <v>895</v>
      </c>
      <c r="B8" s="1384"/>
      <c r="C8" s="1385"/>
      <c r="D8" s="1385"/>
      <c r="E8" s="1385"/>
      <c r="F8" s="1386"/>
      <c r="G8" s="1321" t="s">
        <v>894</v>
      </c>
      <c r="H8" s="1321"/>
      <c r="I8" s="1322"/>
    </row>
    <row r="9" spans="1:10" ht="18" customHeight="1" thickBot="1">
      <c r="A9" s="1383"/>
      <c r="B9" s="1387"/>
      <c r="C9" s="1388"/>
      <c r="D9" s="1388"/>
      <c r="E9" s="1388"/>
      <c r="F9" s="1389"/>
      <c r="G9" s="1321"/>
      <c r="H9" s="1321"/>
      <c r="I9" s="1322"/>
    </row>
    <row r="10" spans="1:10" ht="22.15" customHeight="1" thickBot="1">
      <c r="A10" s="441" t="s">
        <v>893</v>
      </c>
      <c r="B10" s="1377"/>
      <c r="C10" s="1378"/>
      <c r="D10" s="1378"/>
      <c r="E10" s="1378"/>
      <c r="F10" s="1379"/>
      <c r="G10" s="1323"/>
      <c r="H10" s="1323"/>
      <c r="I10" s="1324"/>
    </row>
    <row r="11" spans="1:10" ht="27.6" customHeight="1" thickBot="1">
      <c r="A11" s="1319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58" t="s">
        <v>888</v>
      </c>
      <c r="H11" s="1359"/>
      <c r="I11" s="1360"/>
    </row>
    <row r="12" spans="1:10" ht="15" thickBot="1">
      <c r="A12" s="1320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61"/>
      <c r="H12" s="1362"/>
      <c r="I12" s="1363"/>
    </row>
    <row r="13" spans="1:10" ht="36" customHeight="1" thickBot="1">
      <c r="A13" s="1364"/>
      <c r="B13" s="1365"/>
      <c r="C13" s="1365"/>
      <c r="D13" s="1365"/>
      <c r="E13" s="1365"/>
      <c r="F13" s="1366"/>
      <c r="G13" s="1311" t="s">
        <v>884</v>
      </c>
      <c r="H13" s="1312"/>
      <c r="I13" s="1313"/>
    </row>
    <row r="14" spans="1:10" ht="32.25" customHeight="1" thickBot="1">
      <c r="A14" s="436" t="s">
        <v>883</v>
      </c>
      <c r="B14" s="1314"/>
      <c r="C14" s="1314"/>
      <c r="D14" s="1314"/>
      <c r="E14" s="1314"/>
      <c r="F14" s="1315"/>
      <c r="G14" s="1356" t="s">
        <v>882</v>
      </c>
      <c r="H14" s="1356"/>
      <c r="I14" s="1357"/>
    </row>
    <row r="15" spans="1:10" ht="32.25" customHeight="1" thickBot="1">
      <c r="A15" s="429"/>
      <c r="B15" s="1372" t="s">
        <v>873</v>
      </c>
      <c r="C15" s="1372"/>
      <c r="D15" s="1372"/>
      <c r="E15" s="1372" t="s">
        <v>881</v>
      </c>
      <c r="F15" s="1373"/>
      <c r="G15" s="1311" t="s">
        <v>880</v>
      </c>
      <c r="H15" s="1312"/>
      <c r="I15" s="1313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53" t="s">
        <v>875</v>
      </c>
      <c r="B19" s="1354"/>
      <c r="C19" s="1354"/>
      <c r="D19" s="1355"/>
      <c r="E19" s="1375" t="s">
        <v>874</v>
      </c>
      <c r="F19" s="1375"/>
      <c r="G19" s="1375"/>
      <c r="H19" s="1375"/>
      <c r="I19" s="1376"/>
    </row>
    <row r="20" spans="1:9" ht="15" thickBot="1">
      <c r="A20" s="429"/>
      <c r="B20" s="428" t="s">
        <v>873</v>
      </c>
      <c r="C20" s="427"/>
      <c r="D20" s="426" t="s">
        <v>872</v>
      </c>
      <c r="E20" s="1392" t="s">
        <v>871</v>
      </c>
      <c r="F20" s="1392"/>
      <c r="G20" s="1392"/>
      <c r="H20" s="1392" t="s">
        <v>870</v>
      </c>
      <c r="I20" s="1393"/>
    </row>
    <row r="21" spans="1:9" ht="18.600000000000001" customHeight="1" thickBot="1">
      <c r="A21" s="1332" t="s">
        <v>869</v>
      </c>
      <c r="B21" s="1333"/>
      <c r="C21" s="1333"/>
      <c r="D21" s="1334"/>
      <c r="E21" s="1407" t="s">
        <v>868</v>
      </c>
      <c r="F21" s="1408"/>
      <c r="G21" s="1408"/>
      <c r="H21" s="1408"/>
      <c r="I21" s="1409"/>
    </row>
    <row r="22" spans="1:9" ht="21" customHeight="1" thickBot="1">
      <c r="A22" s="1375" t="s">
        <v>867</v>
      </c>
      <c r="B22" s="1410"/>
      <c r="C22" s="1410"/>
      <c r="D22" s="1410"/>
      <c r="E22" s="1410"/>
      <c r="F22" s="1410"/>
      <c r="G22" s="1410"/>
      <c r="H22" s="1410"/>
      <c r="I22" s="1410"/>
    </row>
    <row r="23" spans="1:9" ht="15">
      <c r="A23" s="1329" t="s">
        <v>866</v>
      </c>
      <c r="B23" s="1330"/>
      <c r="C23" s="1330"/>
      <c r="D23" s="1330"/>
      <c r="E23" s="1330"/>
      <c r="F23" s="1330"/>
      <c r="G23" s="1330"/>
      <c r="H23" s="1330"/>
      <c r="I23" s="1331"/>
    </row>
    <row r="24" spans="1:9">
      <c r="A24" s="1397" t="s">
        <v>865</v>
      </c>
      <c r="B24" s="1398"/>
      <c r="C24" s="1398"/>
      <c r="D24" s="1398"/>
      <c r="E24" s="1398"/>
      <c r="F24" s="1398"/>
      <c r="G24" s="1398"/>
      <c r="H24" s="1398"/>
      <c r="I24" s="1399"/>
    </row>
    <row r="25" spans="1:9" ht="14.45" customHeight="1">
      <c r="A25" s="1397" t="s">
        <v>864</v>
      </c>
      <c r="B25" s="1398"/>
      <c r="C25" s="1398"/>
      <c r="D25" s="1398"/>
      <c r="E25" s="1398"/>
      <c r="F25" s="1398"/>
      <c r="G25" s="1398"/>
      <c r="H25" s="1398"/>
      <c r="I25" s="1399"/>
    </row>
    <row r="26" spans="1:9" ht="15" customHeight="1">
      <c r="A26" s="1394" t="s">
        <v>863</v>
      </c>
      <c r="B26" s="1395"/>
      <c r="C26" s="1395"/>
      <c r="D26" s="1395"/>
      <c r="E26" s="1395"/>
      <c r="F26" s="1395"/>
      <c r="G26" s="1395"/>
      <c r="H26" s="1395"/>
      <c r="I26" s="1396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401" t="s">
        <v>862</v>
      </c>
      <c r="B28" s="1402"/>
      <c r="C28" s="1402"/>
      <c r="D28" s="1402"/>
      <c r="E28" s="1402"/>
      <c r="F28" s="1402"/>
      <c r="G28" s="1402"/>
      <c r="H28" s="1402"/>
      <c r="I28" s="1403"/>
    </row>
    <row r="29" spans="1:9" ht="18" customHeight="1">
      <c r="A29" s="1405" t="s">
        <v>861</v>
      </c>
      <c r="B29" s="1406"/>
      <c r="C29" s="1406"/>
      <c r="D29" s="1406"/>
      <c r="E29" s="424" t="s">
        <v>860</v>
      </c>
      <c r="F29" s="422"/>
      <c r="G29" s="422"/>
      <c r="H29" s="422"/>
      <c r="I29" s="423"/>
    </row>
    <row r="30" spans="1:9" ht="18" customHeight="1">
      <c r="A30" s="1405" t="s">
        <v>859</v>
      </c>
      <c r="B30" s="1406"/>
      <c r="C30" s="1406"/>
      <c r="D30" s="1406"/>
      <c r="E30" s="424" t="s">
        <v>858</v>
      </c>
      <c r="F30" s="422"/>
      <c r="G30" s="422"/>
      <c r="H30" s="422"/>
      <c r="I30" s="423"/>
    </row>
    <row r="31" spans="1:9" ht="18" customHeight="1">
      <c r="A31" s="1400" t="s">
        <v>857</v>
      </c>
      <c r="B31" s="422" t="s">
        <v>856</v>
      </c>
      <c r="C31" s="422"/>
      <c r="D31" s="1335"/>
      <c r="E31" s="1336"/>
      <c r="F31" s="1336"/>
      <c r="G31" s="1336"/>
      <c r="H31" s="1336"/>
      <c r="I31" s="1337"/>
    </row>
    <row r="32" spans="1:9" ht="18" customHeight="1">
      <c r="A32" s="1400"/>
      <c r="B32" s="422" t="s">
        <v>855</v>
      </c>
      <c r="C32" s="422"/>
      <c r="D32" s="1335"/>
      <c r="E32" s="1336"/>
      <c r="F32" s="1336"/>
      <c r="G32" s="1336"/>
      <c r="H32" s="1336"/>
      <c r="I32" s="1337"/>
    </row>
    <row r="33" spans="1:9" ht="18" customHeight="1">
      <c r="A33" s="1400"/>
      <c r="B33" s="422" t="s">
        <v>854</v>
      </c>
      <c r="C33" s="422"/>
      <c r="D33" s="1335"/>
      <c r="E33" s="1336"/>
      <c r="F33" s="1336"/>
      <c r="G33" s="1336"/>
      <c r="H33" s="1336"/>
      <c r="I33" s="1337"/>
    </row>
    <row r="34" spans="1:9" ht="18" customHeight="1">
      <c r="A34" s="1390" t="s">
        <v>853</v>
      </c>
      <c r="B34" s="1391"/>
      <c r="C34" s="1391"/>
      <c r="D34" s="1391" t="s">
        <v>852</v>
      </c>
      <c r="E34" s="1391"/>
      <c r="F34" s="1391"/>
      <c r="G34" s="1391"/>
      <c r="H34" s="1391"/>
      <c r="I34" s="1404"/>
    </row>
    <row r="35" spans="1:9" ht="18" customHeight="1">
      <c r="A35" s="1390" t="s">
        <v>853</v>
      </c>
      <c r="B35" s="1391"/>
      <c r="C35" s="1391"/>
      <c r="D35" s="1391" t="s">
        <v>852</v>
      </c>
      <c r="E35" s="1391"/>
      <c r="F35" s="1391"/>
      <c r="G35" s="1391"/>
      <c r="H35" s="1391"/>
      <c r="I35" s="1404"/>
    </row>
    <row r="36" spans="1:9" ht="18" customHeight="1">
      <c r="A36" s="421" t="s">
        <v>851</v>
      </c>
      <c r="B36" s="1339"/>
      <c r="C36" s="1339"/>
      <c r="D36" s="1339"/>
      <c r="E36" s="1339"/>
      <c r="F36" s="1339"/>
      <c r="G36" s="1343" t="s">
        <v>850</v>
      </c>
      <c r="H36" s="1343"/>
      <c r="I36" s="1344"/>
    </row>
    <row r="37" spans="1:9" ht="15.75" customHeight="1">
      <c r="A37" s="421" t="s">
        <v>849</v>
      </c>
      <c r="B37" s="1338"/>
      <c r="C37" s="1338"/>
      <c r="D37" s="1341" t="s">
        <v>848</v>
      </c>
      <c r="E37" s="1339"/>
      <c r="F37" s="1339"/>
      <c r="G37" s="1343"/>
      <c r="H37" s="1343"/>
      <c r="I37" s="1344"/>
    </row>
    <row r="38" spans="1:9" ht="15.75" customHeight="1" thickBot="1">
      <c r="A38" s="420" t="s">
        <v>847</v>
      </c>
      <c r="B38" s="1340"/>
      <c r="C38" s="1340"/>
      <c r="D38" s="1342"/>
      <c r="E38" s="1340"/>
      <c r="F38" s="1340"/>
      <c r="G38" s="1345"/>
      <c r="H38" s="1345"/>
      <c r="I38" s="1346"/>
    </row>
  </sheetData>
  <sheetProtection selectLockedCells="1" selectUnlockedCells="1"/>
  <mergeCells count="54"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37:C37"/>
    <mergeCell ref="E37:F38"/>
    <mergeCell ref="B38:C38"/>
    <mergeCell ref="D37:D38"/>
    <mergeCell ref="G36:I38"/>
    <mergeCell ref="B36:F36"/>
    <mergeCell ref="A23:I23"/>
    <mergeCell ref="A21:D21"/>
    <mergeCell ref="D31:I31"/>
    <mergeCell ref="D32:I32"/>
    <mergeCell ref="D33:I33"/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411" t="s">
        <v>845</v>
      </c>
      <c r="AK1" s="1411"/>
      <c r="AL1" s="1411"/>
      <c r="AM1" s="1411"/>
      <c r="AN1" s="1411"/>
      <c r="AO1" s="1411"/>
      <c r="AP1" s="1411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412" t="s">
        <v>921</v>
      </c>
      <c r="B5" s="1413"/>
      <c r="C5" s="1413"/>
      <c r="D5" s="1413"/>
      <c r="E5" s="1413"/>
      <c r="F5" s="1413"/>
      <c r="G5" s="1413"/>
      <c r="H5" s="1413"/>
      <c r="I5" s="1413"/>
      <c r="J5" s="1413"/>
      <c r="K5" s="1413"/>
      <c r="L5" s="1413"/>
      <c r="M5" s="1413"/>
      <c r="N5" s="1413"/>
      <c r="O5" s="1413"/>
      <c r="P5" s="1413"/>
      <c r="Q5" s="1413"/>
      <c r="R5" s="1413"/>
      <c r="S5" s="1413"/>
      <c r="T5" s="1413"/>
      <c r="U5" s="1413"/>
      <c r="V5" s="1413"/>
      <c r="W5" s="1413"/>
      <c r="X5" s="1413"/>
      <c r="Y5" s="1413"/>
      <c r="Z5" s="1413"/>
      <c r="AA5" s="1413"/>
      <c r="AB5" s="1413"/>
      <c r="AC5" s="1413"/>
      <c r="AD5" s="1413"/>
      <c r="AE5" s="1413"/>
      <c r="AF5" s="1413"/>
      <c r="AG5" s="1413"/>
      <c r="AH5" s="1413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412"/>
      <c r="B6" s="1413"/>
      <c r="C6" s="1413"/>
      <c r="D6" s="1413"/>
      <c r="E6" s="1413"/>
      <c r="F6" s="1413"/>
      <c r="G6" s="1413"/>
      <c r="H6" s="1413"/>
      <c r="I6" s="1413"/>
      <c r="J6" s="1413"/>
      <c r="K6" s="1413"/>
      <c r="L6" s="1413"/>
      <c r="M6" s="1413"/>
      <c r="N6" s="1413"/>
      <c r="O6" s="1413"/>
      <c r="P6" s="1413"/>
      <c r="Q6" s="1413"/>
      <c r="R6" s="1413"/>
      <c r="S6" s="1413"/>
      <c r="T6" s="1413"/>
      <c r="U6" s="1413"/>
      <c r="V6" s="1413"/>
      <c r="W6" s="1413"/>
      <c r="X6" s="1413"/>
      <c r="Y6" s="1413"/>
      <c r="Z6" s="1413"/>
      <c r="AA6" s="1413"/>
      <c r="AB6" s="1413"/>
      <c r="AC6" s="1413"/>
      <c r="AD6" s="1413"/>
      <c r="AE6" s="1413"/>
      <c r="AF6" s="1413"/>
      <c r="AG6" s="1413"/>
      <c r="AH6" s="1413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414"/>
      <c r="AI8" s="1414"/>
      <c r="AJ8" s="1414"/>
      <c r="AK8" s="1414"/>
      <c r="AL8" s="1414"/>
      <c r="AM8" s="1414"/>
      <c r="AN8" s="1414"/>
      <c r="AO8" s="1414"/>
      <c r="AP8" s="1414"/>
      <c r="AQ8" s="1415"/>
    </row>
    <row r="9" spans="1:45" ht="40.15" customHeight="1">
      <c r="A9" s="1416" t="s">
        <v>923</v>
      </c>
      <c r="B9" s="1417"/>
      <c r="C9" s="1417"/>
      <c r="D9" s="1417"/>
      <c r="E9" s="1417"/>
      <c r="F9" s="1417"/>
      <c r="G9" s="1417"/>
      <c r="H9" s="1418"/>
      <c r="I9" s="1418"/>
      <c r="J9" s="1418"/>
      <c r="K9" s="1418"/>
      <c r="L9" s="1418"/>
      <c r="M9" s="1418"/>
      <c r="N9" s="1418"/>
      <c r="O9" s="1418"/>
      <c r="P9" s="1418"/>
      <c r="Q9" s="1418"/>
      <c r="R9" s="1419" t="s">
        <v>900</v>
      </c>
      <c r="S9" s="1420"/>
      <c r="T9" s="1420"/>
      <c r="U9" s="1421"/>
      <c r="V9" s="1421"/>
      <c r="W9" s="1421"/>
      <c r="X9" s="1421"/>
      <c r="Y9" s="1421"/>
      <c r="Z9" s="1421"/>
      <c r="AA9" s="1421"/>
      <c r="AB9" s="1421"/>
      <c r="AC9" s="1422" t="s">
        <v>924</v>
      </c>
      <c r="AD9" s="1423"/>
      <c r="AE9" s="1423"/>
      <c r="AF9" s="1423"/>
      <c r="AG9" s="1423"/>
      <c r="AH9" s="1423"/>
      <c r="AI9" s="1423"/>
      <c r="AJ9" s="1423"/>
      <c r="AK9" s="1423"/>
      <c r="AL9" s="1423"/>
      <c r="AM9" s="1423"/>
      <c r="AN9" s="1423"/>
      <c r="AO9" s="1423"/>
      <c r="AP9" s="1423"/>
      <c r="AQ9" s="1424"/>
    </row>
    <row r="10" spans="1:45" ht="33.75" customHeight="1">
      <c r="A10" s="1416" t="s">
        <v>828</v>
      </c>
      <c r="B10" s="1417"/>
      <c r="C10" s="1417"/>
      <c r="D10" s="1417"/>
      <c r="E10" s="1417"/>
      <c r="F10" s="1421"/>
      <c r="G10" s="1420"/>
      <c r="H10" s="1420"/>
      <c r="I10" s="1420"/>
      <c r="J10" s="1420"/>
      <c r="K10" s="1425"/>
      <c r="L10" s="1425"/>
      <c r="M10" s="1425"/>
      <c r="N10" s="1425"/>
      <c r="O10" s="1425"/>
      <c r="P10" s="1425"/>
      <c r="Q10" s="1425"/>
      <c r="R10" s="1425"/>
      <c r="S10" s="1425"/>
      <c r="T10" s="1425"/>
      <c r="U10" s="1425"/>
      <c r="V10" s="1425"/>
      <c r="W10" s="1425"/>
      <c r="X10" s="1425"/>
      <c r="Y10" s="1425"/>
      <c r="Z10" s="1425"/>
      <c r="AA10" s="1425"/>
      <c r="AB10" s="1425"/>
      <c r="AC10" s="491"/>
      <c r="AD10" s="1426" t="s">
        <v>925</v>
      </c>
      <c r="AE10" s="1421"/>
      <c r="AF10" s="1421"/>
      <c r="AG10" s="1421"/>
      <c r="AH10" s="1421"/>
      <c r="AI10" s="1421"/>
      <c r="AJ10" s="1421"/>
      <c r="AK10" s="1421"/>
      <c r="AL10" s="1421"/>
      <c r="AM10" s="1421"/>
      <c r="AN10" s="1421"/>
      <c r="AO10" s="1421"/>
      <c r="AP10" s="1421"/>
      <c r="AQ10" s="1427"/>
    </row>
    <row r="11" spans="1:45" ht="32.25" customHeight="1">
      <c r="A11" s="1428" t="s">
        <v>926</v>
      </c>
      <c r="B11" s="1429"/>
      <c r="C11" s="1429"/>
      <c r="D11" s="1429"/>
      <c r="E11" s="1429"/>
      <c r="F11" s="1429"/>
      <c r="G11" s="1429"/>
      <c r="H11" s="1429"/>
      <c r="I11" s="1429"/>
      <c r="J11" s="1429"/>
      <c r="K11" s="1430"/>
      <c r="L11" s="1421"/>
      <c r="M11" s="1421"/>
      <c r="N11" s="1421"/>
      <c r="O11" s="1421"/>
      <c r="P11" s="1421"/>
      <c r="Q11" s="1421"/>
      <c r="R11" s="1421"/>
      <c r="S11" s="1421"/>
      <c r="T11" s="1421"/>
      <c r="U11" s="1421"/>
      <c r="V11" s="1421"/>
      <c r="W11" s="1421"/>
      <c r="X11" s="1421"/>
      <c r="Y11" s="1421"/>
      <c r="Z11" s="1421"/>
      <c r="AA11" s="1421"/>
      <c r="AB11" s="1421"/>
      <c r="AC11" s="492"/>
      <c r="AD11" s="1426" t="s">
        <v>927</v>
      </c>
      <c r="AE11" s="1421"/>
      <c r="AF11" s="1421"/>
      <c r="AG11" s="1421"/>
      <c r="AH11" s="1421"/>
      <c r="AI11" s="1421"/>
      <c r="AJ11" s="1421"/>
      <c r="AK11" s="1421"/>
      <c r="AL11" s="1421"/>
      <c r="AM11" s="1421"/>
      <c r="AN11" s="1421"/>
      <c r="AO11" s="1421"/>
      <c r="AP11" s="1421"/>
      <c r="AQ11" s="1427"/>
    </row>
    <row r="12" spans="1:45" ht="33" customHeight="1">
      <c r="A12" s="1431" t="s">
        <v>928</v>
      </c>
      <c r="B12" s="1432"/>
      <c r="C12" s="1432"/>
      <c r="D12" s="1432"/>
      <c r="E12" s="1432"/>
      <c r="F12" s="1432"/>
      <c r="G12" s="1420"/>
      <c r="H12" s="1420"/>
      <c r="I12" s="1420"/>
      <c r="J12" s="1420"/>
      <c r="K12" s="1420"/>
      <c r="L12" s="1420"/>
      <c r="M12" s="1420"/>
      <c r="N12" s="1420"/>
      <c r="O12" s="1420"/>
      <c r="P12" s="1420"/>
      <c r="Q12" s="1420"/>
      <c r="R12" s="1420"/>
      <c r="S12" s="1420"/>
      <c r="T12" s="1420"/>
      <c r="U12" s="1420"/>
      <c r="V12" s="1420"/>
      <c r="W12" s="1420"/>
      <c r="X12" s="1420"/>
      <c r="Y12" s="1420"/>
      <c r="Z12" s="1420"/>
      <c r="AA12" s="1420"/>
      <c r="AB12" s="1420"/>
      <c r="AC12" s="492"/>
      <c r="AD12" s="1426" t="s">
        <v>929</v>
      </c>
      <c r="AE12" s="1421"/>
      <c r="AF12" s="1421"/>
      <c r="AG12" s="1421"/>
      <c r="AH12" s="1421"/>
      <c r="AI12" s="1421"/>
      <c r="AJ12" s="1421"/>
      <c r="AK12" s="1421"/>
      <c r="AL12" s="1421"/>
      <c r="AM12" s="1421"/>
      <c r="AN12" s="1421"/>
      <c r="AO12" s="1421"/>
      <c r="AP12" s="1421"/>
      <c r="AQ12" s="1427"/>
    </row>
    <row r="13" spans="1:45" ht="33" customHeight="1" thickBot="1">
      <c r="A13" s="1433" t="s">
        <v>930</v>
      </c>
      <c r="B13" s="1432"/>
      <c r="C13" s="1432"/>
      <c r="D13" s="1432"/>
      <c r="E13" s="1432"/>
      <c r="F13" s="1432"/>
      <c r="G13" s="1420"/>
      <c r="H13" s="1420"/>
      <c r="I13" s="1420"/>
      <c r="J13" s="1420"/>
      <c r="K13" s="1420"/>
      <c r="L13" s="1420"/>
      <c r="M13" s="1420"/>
      <c r="N13" s="1420"/>
      <c r="O13" s="1420"/>
      <c r="P13" s="1420"/>
      <c r="Q13" s="1420"/>
      <c r="R13" s="1420"/>
      <c r="S13" s="1420"/>
      <c r="T13" s="1420"/>
      <c r="U13" s="1420"/>
      <c r="V13" s="1420"/>
      <c r="W13" s="1420"/>
      <c r="X13" s="1420"/>
      <c r="Y13" s="1420"/>
      <c r="Z13" s="1420"/>
      <c r="AA13" s="1420"/>
      <c r="AB13" s="1420"/>
      <c r="AC13" s="493"/>
      <c r="AD13" s="1434" t="s">
        <v>931</v>
      </c>
      <c r="AE13" s="1435"/>
      <c r="AF13" s="1435"/>
      <c r="AG13" s="1435"/>
      <c r="AH13" s="1435"/>
      <c r="AI13" s="1435"/>
      <c r="AJ13" s="1435"/>
      <c r="AK13" s="1435"/>
      <c r="AL13" s="1435"/>
      <c r="AM13" s="1435"/>
      <c r="AN13" s="1435"/>
      <c r="AO13" s="1435"/>
      <c r="AP13" s="1435"/>
      <c r="AQ13" s="1436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437" t="s">
        <v>933</v>
      </c>
      <c r="AA14" s="1438"/>
      <c r="AB14" s="1439"/>
      <c r="AC14" s="1440"/>
      <c r="AD14" s="1441"/>
      <c r="AE14" s="1441"/>
      <c r="AF14" s="1441"/>
      <c r="AG14" s="1441"/>
      <c r="AH14" s="1441"/>
      <c r="AI14" s="1441"/>
      <c r="AJ14" s="1441"/>
      <c r="AK14" s="1441"/>
      <c r="AL14" s="1441"/>
      <c r="AM14" s="1441"/>
      <c r="AN14" s="1441"/>
      <c r="AO14" s="1441"/>
      <c r="AP14" s="1441"/>
      <c r="AQ14" s="1442"/>
    </row>
    <row r="15" spans="1:45" ht="23.25" customHeight="1">
      <c r="A15" s="1443" t="s">
        <v>934</v>
      </c>
      <c r="B15" s="1444"/>
      <c r="C15" s="1444"/>
      <c r="D15" s="1444"/>
      <c r="E15" s="1444"/>
      <c r="F15" s="1444"/>
      <c r="G15" s="1444"/>
      <c r="H15" s="1444"/>
      <c r="I15" s="1444"/>
      <c r="J15" s="1444"/>
      <c r="K15" s="1444"/>
      <c r="L15" s="1444"/>
      <c r="M15" s="1444"/>
      <c r="N15" s="1444"/>
      <c r="O15" s="1444"/>
      <c r="P15" s="1444"/>
      <c r="Q15" s="1444"/>
      <c r="R15" s="1444"/>
      <c r="S15" s="1444"/>
      <c r="T15" s="1444"/>
      <c r="U15" s="1444"/>
      <c r="V15" s="1444"/>
      <c r="W15" s="1444"/>
      <c r="X15" s="1444"/>
      <c r="Y15" s="1445"/>
      <c r="Z15" s="1452" t="s">
        <v>935</v>
      </c>
      <c r="AA15" s="1455" t="s">
        <v>1142</v>
      </c>
      <c r="AB15" s="1455" t="s">
        <v>936</v>
      </c>
      <c r="AC15" s="1455" t="s">
        <v>937</v>
      </c>
      <c r="AD15" s="1456" t="s">
        <v>938</v>
      </c>
      <c r="AE15" s="1457"/>
      <c r="AF15" s="1456" t="s">
        <v>939</v>
      </c>
      <c r="AG15" s="1457"/>
      <c r="AH15" s="1456" t="s">
        <v>940</v>
      </c>
      <c r="AI15" s="1462"/>
      <c r="AJ15" s="1472"/>
      <c r="AK15" s="1473"/>
      <c r="AL15" s="1473"/>
      <c r="AM15" s="1473"/>
      <c r="AN15" s="1473"/>
      <c r="AO15" s="1473"/>
      <c r="AP15" s="1473"/>
      <c r="AQ15" s="1474"/>
    </row>
    <row r="16" spans="1:45" ht="11.25" customHeight="1">
      <c r="A16" s="1446"/>
      <c r="B16" s="1447"/>
      <c r="C16" s="1447"/>
      <c r="D16" s="1447"/>
      <c r="E16" s="1447"/>
      <c r="F16" s="1447"/>
      <c r="G16" s="1447"/>
      <c r="H16" s="1447"/>
      <c r="I16" s="1447"/>
      <c r="J16" s="1447"/>
      <c r="K16" s="1447"/>
      <c r="L16" s="1447"/>
      <c r="M16" s="1447"/>
      <c r="N16" s="1447"/>
      <c r="O16" s="1447"/>
      <c r="P16" s="1447"/>
      <c r="Q16" s="1447"/>
      <c r="R16" s="1447"/>
      <c r="S16" s="1447"/>
      <c r="T16" s="1447"/>
      <c r="U16" s="1447"/>
      <c r="V16" s="1447"/>
      <c r="W16" s="1447"/>
      <c r="X16" s="1447"/>
      <c r="Y16" s="1448"/>
      <c r="Z16" s="1452"/>
      <c r="AA16" s="1455"/>
      <c r="AB16" s="1455"/>
      <c r="AC16" s="1455"/>
      <c r="AD16" s="1456"/>
      <c r="AE16" s="1457"/>
      <c r="AF16" s="1456"/>
      <c r="AG16" s="1457"/>
      <c r="AH16" s="1456"/>
      <c r="AI16" s="1462"/>
      <c r="AJ16" s="1475"/>
      <c r="AK16" s="1476"/>
      <c r="AL16" s="1476"/>
      <c r="AM16" s="1476"/>
      <c r="AN16" s="1476"/>
      <c r="AO16" s="1476"/>
      <c r="AP16" s="1476"/>
      <c r="AQ16" s="1477"/>
    </row>
    <row r="17" spans="1:43" ht="18" customHeight="1">
      <c r="A17" s="1446"/>
      <c r="B17" s="1447"/>
      <c r="C17" s="1447"/>
      <c r="D17" s="1447"/>
      <c r="E17" s="1447"/>
      <c r="F17" s="1447"/>
      <c r="G17" s="1447"/>
      <c r="H17" s="1447"/>
      <c r="I17" s="1447"/>
      <c r="J17" s="1447"/>
      <c r="K17" s="1447"/>
      <c r="L17" s="1447"/>
      <c r="M17" s="1447"/>
      <c r="N17" s="1447"/>
      <c r="O17" s="1447"/>
      <c r="P17" s="1447"/>
      <c r="Q17" s="1447"/>
      <c r="R17" s="1447"/>
      <c r="S17" s="1447"/>
      <c r="T17" s="1447"/>
      <c r="U17" s="1447"/>
      <c r="V17" s="1447"/>
      <c r="W17" s="1447"/>
      <c r="X17" s="1447"/>
      <c r="Y17" s="1448"/>
      <c r="Z17" s="1452"/>
      <c r="AA17" s="1455"/>
      <c r="AB17" s="1455"/>
      <c r="AC17" s="1455"/>
      <c r="AD17" s="1456"/>
      <c r="AE17" s="1457"/>
      <c r="AF17" s="1456"/>
      <c r="AG17" s="1457"/>
      <c r="AH17" s="1456"/>
      <c r="AI17" s="1462"/>
      <c r="AJ17" s="1475"/>
      <c r="AK17" s="1476"/>
      <c r="AL17" s="1476"/>
      <c r="AM17" s="1476"/>
      <c r="AN17" s="1476"/>
      <c r="AO17" s="1476"/>
      <c r="AP17" s="1476"/>
      <c r="AQ17" s="1477"/>
    </row>
    <row r="18" spans="1:43" ht="13.5" customHeight="1">
      <c r="A18" s="1446"/>
      <c r="B18" s="1447"/>
      <c r="C18" s="1447"/>
      <c r="D18" s="1447"/>
      <c r="E18" s="1447"/>
      <c r="F18" s="1447"/>
      <c r="G18" s="1447"/>
      <c r="H18" s="1447"/>
      <c r="I18" s="1447"/>
      <c r="J18" s="1447"/>
      <c r="K18" s="1447"/>
      <c r="L18" s="1447"/>
      <c r="M18" s="1447"/>
      <c r="N18" s="1447"/>
      <c r="O18" s="1447"/>
      <c r="P18" s="1447"/>
      <c r="Q18" s="1447"/>
      <c r="R18" s="1447"/>
      <c r="S18" s="1447"/>
      <c r="T18" s="1447"/>
      <c r="U18" s="1447"/>
      <c r="V18" s="1447"/>
      <c r="W18" s="1447"/>
      <c r="X18" s="1447"/>
      <c r="Y18" s="1448"/>
      <c r="Z18" s="1452"/>
      <c r="AA18" s="1455"/>
      <c r="AB18" s="1455"/>
      <c r="AC18" s="1455"/>
      <c r="AD18" s="1456"/>
      <c r="AE18" s="1457"/>
      <c r="AF18" s="1456"/>
      <c r="AG18" s="1457"/>
      <c r="AH18" s="1456"/>
      <c r="AI18" s="1462"/>
      <c r="AJ18" s="1475"/>
      <c r="AK18" s="1476"/>
      <c r="AL18" s="1476"/>
      <c r="AM18" s="1476"/>
      <c r="AN18" s="1476"/>
      <c r="AO18" s="1476"/>
      <c r="AP18" s="1476"/>
      <c r="AQ18" s="1477"/>
    </row>
    <row r="19" spans="1:43" ht="3.75" customHeight="1">
      <c r="A19" s="1446"/>
      <c r="B19" s="1447"/>
      <c r="C19" s="1447"/>
      <c r="D19" s="1447"/>
      <c r="E19" s="1447"/>
      <c r="F19" s="1447"/>
      <c r="G19" s="1447"/>
      <c r="H19" s="1447"/>
      <c r="I19" s="1447"/>
      <c r="J19" s="1447"/>
      <c r="K19" s="1447"/>
      <c r="L19" s="1447"/>
      <c r="M19" s="1447"/>
      <c r="N19" s="1447"/>
      <c r="O19" s="1447"/>
      <c r="P19" s="1447"/>
      <c r="Q19" s="1447"/>
      <c r="R19" s="1447"/>
      <c r="S19" s="1447"/>
      <c r="T19" s="1447"/>
      <c r="U19" s="1447"/>
      <c r="V19" s="1447"/>
      <c r="W19" s="1447"/>
      <c r="X19" s="1447"/>
      <c r="Y19" s="1448"/>
      <c r="Z19" s="1452"/>
      <c r="AA19" s="1455"/>
      <c r="AB19" s="1455"/>
      <c r="AC19" s="1455"/>
      <c r="AD19" s="1456"/>
      <c r="AE19" s="1457"/>
      <c r="AF19" s="1456"/>
      <c r="AG19" s="1457"/>
      <c r="AH19" s="1456"/>
      <c r="AI19" s="1462"/>
      <c r="AJ19" s="1475"/>
      <c r="AK19" s="1476"/>
      <c r="AL19" s="1476"/>
      <c r="AM19" s="1476"/>
      <c r="AN19" s="1476"/>
      <c r="AO19" s="1476"/>
      <c r="AP19" s="1476"/>
      <c r="AQ19" s="1477"/>
    </row>
    <row r="20" spans="1:43" ht="18" customHeight="1">
      <c r="A20" s="1446"/>
      <c r="B20" s="1447"/>
      <c r="C20" s="1447"/>
      <c r="D20" s="1447"/>
      <c r="E20" s="1447"/>
      <c r="F20" s="1447"/>
      <c r="G20" s="1447"/>
      <c r="H20" s="1447"/>
      <c r="I20" s="1447"/>
      <c r="J20" s="1447"/>
      <c r="K20" s="1447"/>
      <c r="L20" s="1447"/>
      <c r="M20" s="1447"/>
      <c r="N20" s="1447"/>
      <c r="O20" s="1447"/>
      <c r="P20" s="1447"/>
      <c r="Q20" s="1447"/>
      <c r="R20" s="1447"/>
      <c r="S20" s="1447"/>
      <c r="T20" s="1447"/>
      <c r="U20" s="1447"/>
      <c r="V20" s="1447"/>
      <c r="W20" s="1447"/>
      <c r="X20" s="1447"/>
      <c r="Y20" s="1448"/>
      <c r="Z20" s="1452"/>
      <c r="AA20" s="1455"/>
      <c r="AB20" s="1455"/>
      <c r="AC20" s="1455"/>
      <c r="AD20" s="1456"/>
      <c r="AE20" s="1457"/>
      <c r="AF20" s="1456"/>
      <c r="AG20" s="1457"/>
      <c r="AH20" s="1456"/>
      <c r="AI20" s="1462"/>
      <c r="AJ20" s="1475"/>
      <c r="AK20" s="1476"/>
      <c r="AL20" s="1476"/>
      <c r="AM20" s="1476"/>
      <c r="AN20" s="1476"/>
      <c r="AO20" s="1476"/>
      <c r="AP20" s="1476"/>
      <c r="AQ20" s="1477"/>
    </row>
    <row r="21" spans="1:43" ht="18" customHeight="1">
      <c r="A21" s="1449"/>
      <c r="B21" s="1450"/>
      <c r="C21" s="1450"/>
      <c r="D21" s="1450"/>
      <c r="E21" s="1450"/>
      <c r="F21" s="1450"/>
      <c r="G21" s="1450"/>
      <c r="H21" s="1450"/>
      <c r="I21" s="1450"/>
      <c r="J21" s="1450"/>
      <c r="K21" s="1450"/>
      <c r="L21" s="1450"/>
      <c r="M21" s="1450"/>
      <c r="N21" s="1450"/>
      <c r="O21" s="1450"/>
      <c r="P21" s="1450"/>
      <c r="Q21" s="1450"/>
      <c r="R21" s="1450"/>
      <c r="S21" s="1450"/>
      <c r="T21" s="1450"/>
      <c r="U21" s="1450"/>
      <c r="V21" s="1450"/>
      <c r="W21" s="1450"/>
      <c r="X21" s="1450"/>
      <c r="Y21" s="1451"/>
      <c r="Z21" s="1453"/>
      <c r="AA21" s="1453"/>
      <c r="AB21" s="1453"/>
      <c r="AC21" s="1453"/>
      <c r="AD21" s="1458"/>
      <c r="AE21" s="1459"/>
      <c r="AF21" s="1458"/>
      <c r="AG21" s="1459"/>
      <c r="AH21" s="1458"/>
      <c r="AI21" s="1463"/>
      <c r="AJ21" s="1475"/>
      <c r="AK21" s="1476"/>
      <c r="AL21" s="1476"/>
      <c r="AM21" s="1476"/>
      <c r="AN21" s="1476"/>
      <c r="AO21" s="1476"/>
      <c r="AP21" s="1476"/>
      <c r="AQ21" s="1477"/>
    </row>
    <row r="22" spans="1:43" ht="18" hidden="1" customHeight="1">
      <c r="A22" s="471"/>
      <c r="Z22" s="1453"/>
      <c r="AA22" s="1453"/>
      <c r="AB22" s="1453"/>
      <c r="AC22" s="1453"/>
      <c r="AD22" s="1458"/>
      <c r="AE22" s="1459"/>
      <c r="AF22" s="1458"/>
      <c r="AG22" s="1459"/>
      <c r="AH22" s="1458"/>
      <c r="AI22" s="1463"/>
      <c r="AJ22" s="1475"/>
      <c r="AK22" s="1476"/>
      <c r="AL22" s="1476"/>
      <c r="AM22" s="1476"/>
      <c r="AN22" s="1476"/>
      <c r="AO22" s="1476"/>
      <c r="AP22" s="1476"/>
      <c r="AQ22" s="1477"/>
    </row>
    <row r="23" spans="1:43" ht="33" customHeight="1">
      <c r="A23" s="1481"/>
      <c r="B23" s="1482"/>
      <c r="C23" s="1482"/>
      <c r="D23" s="1483"/>
      <c r="E23" s="1484" t="s">
        <v>941</v>
      </c>
      <c r="F23" s="1485"/>
      <c r="G23" s="1485"/>
      <c r="H23" s="1485"/>
      <c r="I23" s="1485"/>
      <c r="J23" s="1485"/>
      <c r="K23" s="1485"/>
      <c r="L23" s="1485"/>
      <c r="M23" s="1485"/>
      <c r="N23" s="1485"/>
      <c r="O23" s="1485"/>
      <c r="P23" s="1485"/>
      <c r="Q23" s="1486"/>
      <c r="R23" s="1487" t="s">
        <v>942</v>
      </c>
      <c r="S23" s="1488"/>
      <c r="T23" s="1488"/>
      <c r="U23" s="1489"/>
      <c r="V23" s="1490" t="s">
        <v>943</v>
      </c>
      <c r="W23" s="1491"/>
      <c r="X23" s="1491"/>
      <c r="Y23" s="1492"/>
      <c r="Z23" s="1454"/>
      <c r="AA23" s="1454"/>
      <c r="AB23" s="1454"/>
      <c r="AC23" s="1454"/>
      <c r="AD23" s="1460"/>
      <c r="AE23" s="1461"/>
      <c r="AF23" s="1460"/>
      <c r="AG23" s="1461"/>
      <c r="AH23" s="1460"/>
      <c r="AI23" s="1464"/>
      <c r="AJ23" s="1478"/>
      <c r="AK23" s="1479"/>
      <c r="AL23" s="1479"/>
      <c r="AM23" s="1479"/>
      <c r="AN23" s="1479"/>
      <c r="AO23" s="1479"/>
      <c r="AP23" s="1479"/>
      <c r="AQ23" s="1480"/>
    </row>
    <row r="24" spans="1:43" ht="15" customHeight="1">
      <c r="A24" s="496"/>
      <c r="B24" s="497"/>
      <c r="C24" s="497"/>
      <c r="D24" s="498"/>
      <c r="E24" s="1465"/>
      <c r="F24" s="1469"/>
      <c r="G24" s="1469"/>
      <c r="H24" s="1469"/>
      <c r="I24" s="1469"/>
      <c r="J24" s="1469"/>
      <c r="K24" s="1469"/>
      <c r="L24" s="1469"/>
      <c r="M24" s="1469"/>
      <c r="N24" s="1469"/>
      <c r="O24" s="1469"/>
      <c r="P24" s="1469"/>
      <c r="Q24" s="1466"/>
      <c r="R24" s="1493"/>
      <c r="S24" s="1469"/>
      <c r="T24" s="1469"/>
      <c r="U24" s="1466"/>
      <c r="V24" s="1494"/>
      <c r="W24" s="1469"/>
      <c r="X24" s="1469"/>
      <c r="Y24" s="1466"/>
      <c r="Z24" s="1495"/>
      <c r="AA24" s="1495"/>
      <c r="AB24" s="1495"/>
      <c r="AC24" s="1495"/>
      <c r="AD24" s="1465"/>
      <c r="AE24" s="1466"/>
      <c r="AF24" s="1465"/>
      <c r="AG24" s="1466"/>
      <c r="AH24" s="1465"/>
      <c r="AI24" s="1466"/>
      <c r="AJ24" s="1465"/>
      <c r="AK24" s="1469"/>
      <c r="AL24" s="1469"/>
      <c r="AM24" s="1469"/>
      <c r="AN24" s="1469"/>
      <c r="AO24" s="1469"/>
      <c r="AP24" s="1469"/>
      <c r="AQ24" s="1470"/>
    </row>
    <row r="25" spans="1:43" ht="21.75" customHeight="1">
      <c r="A25" s="496"/>
      <c r="B25" s="497"/>
      <c r="C25" s="497"/>
      <c r="D25" s="498"/>
      <c r="E25" s="1467"/>
      <c r="F25" s="1418"/>
      <c r="G25" s="1418"/>
      <c r="H25" s="1418"/>
      <c r="I25" s="1418"/>
      <c r="J25" s="1418"/>
      <c r="K25" s="1418"/>
      <c r="L25" s="1418"/>
      <c r="M25" s="1418"/>
      <c r="N25" s="1418"/>
      <c r="O25" s="1418"/>
      <c r="P25" s="1418"/>
      <c r="Q25" s="1468"/>
      <c r="R25" s="1467"/>
      <c r="S25" s="1418"/>
      <c r="T25" s="1418"/>
      <c r="U25" s="1468"/>
      <c r="V25" s="1467"/>
      <c r="W25" s="1418"/>
      <c r="X25" s="1418"/>
      <c r="Y25" s="1468"/>
      <c r="Z25" s="1496"/>
      <c r="AA25" s="1496"/>
      <c r="AB25" s="1496"/>
      <c r="AC25" s="1496"/>
      <c r="AD25" s="1467"/>
      <c r="AE25" s="1468"/>
      <c r="AF25" s="1467"/>
      <c r="AG25" s="1468"/>
      <c r="AH25" s="1467"/>
      <c r="AI25" s="1468"/>
      <c r="AJ25" s="1467"/>
      <c r="AK25" s="1418"/>
      <c r="AL25" s="1418"/>
      <c r="AM25" s="1418"/>
      <c r="AN25" s="1418"/>
      <c r="AO25" s="1418"/>
      <c r="AP25" s="1418"/>
      <c r="AQ25" s="1471"/>
    </row>
    <row r="26" spans="1:43" ht="9.75" customHeight="1">
      <c r="A26" s="499"/>
      <c r="B26" s="500"/>
      <c r="C26" s="500"/>
      <c r="D26" s="501"/>
      <c r="E26" s="1498"/>
      <c r="F26" s="1499"/>
      <c r="G26" s="1499"/>
      <c r="H26" s="1499"/>
      <c r="I26" s="1499"/>
      <c r="J26" s="1499"/>
      <c r="K26" s="1499"/>
      <c r="L26" s="1499"/>
      <c r="M26" s="1499"/>
      <c r="N26" s="1499"/>
      <c r="O26" s="1499"/>
      <c r="P26" s="1499"/>
      <c r="Q26" s="1500"/>
      <c r="R26" s="1498"/>
      <c r="S26" s="1499"/>
      <c r="T26" s="1499"/>
      <c r="U26" s="1500"/>
      <c r="V26" s="1498"/>
      <c r="W26" s="1499"/>
      <c r="X26" s="1499"/>
      <c r="Y26" s="1500"/>
      <c r="Z26" s="1507"/>
      <c r="AA26" s="1495"/>
      <c r="AB26" s="1495"/>
      <c r="AC26" s="1495"/>
      <c r="AD26" s="1465"/>
      <c r="AE26" s="1466"/>
      <c r="AF26" s="1465"/>
      <c r="AG26" s="1466"/>
      <c r="AH26" s="1498"/>
      <c r="AI26" s="1500"/>
      <c r="AJ26" s="1465"/>
      <c r="AK26" s="1469"/>
      <c r="AL26" s="1469"/>
      <c r="AM26" s="1469"/>
      <c r="AN26" s="1469"/>
      <c r="AO26" s="1469"/>
      <c r="AP26" s="1469"/>
      <c r="AQ26" s="1470"/>
    </row>
    <row r="27" spans="1:43" ht="14.1" customHeight="1">
      <c r="A27" s="496"/>
      <c r="B27" s="497"/>
      <c r="C27" s="497"/>
      <c r="D27" s="498"/>
      <c r="E27" s="1501"/>
      <c r="F27" s="1502"/>
      <c r="G27" s="1502"/>
      <c r="H27" s="1502"/>
      <c r="I27" s="1502"/>
      <c r="J27" s="1502"/>
      <c r="K27" s="1502"/>
      <c r="L27" s="1502"/>
      <c r="M27" s="1502"/>
      <c r="N27" s="1502"/>
      <c r="O27" s="1502"/>
      <c r="P27" s="1502"/>
      <c r="Q27" s="1503"/>
      <c r="R27" s="1501"/>
      <c r="S27" s="1502"/>
      <c r="T27" s="1502"/>
      <c r="U27" s="1503"/>
      <c r="V27" s="1501"/>
      <c r="W27" s="1502"/>
      <c r="X27" s="1502"/>
      <c r="Y27" s="1503"/>
      <c r="Z27" s="1508"/>
      <c r="AA27" s="1497"/>
      <c r="AB27" s="1497"/>
      <c r="AC27" s="1497"/>
      <c r="AD27" s="1510"/>
      <c r="AE27" s="1513"/>
      <c r="AF27" s="1510"/>
      <c r="AG27" s="1513"/>
      <c r="AH27" s="1501"/>
      <c r="AI27" s="1503"/>
      <c r="AJ27" s="1510"/>
      <c r="AK27" s="1511"/>
      <c r="AL27" s="1511"/>
      <c r="AM27" s="1511"/>
      <c r="AN27" s="1511"/>
      <c r="AO27" s="1511"/>
      <c r="AP27" s="1511"/>
      <c r="AQ27" s="1512"/>
    </row>
    <row r="28" spans="1:43" ht="14.25" customHeight="1">
      <c r="A28" s="502"/>
      <c r="B28" s="503"/>
      <c r="C28" s="503"/>
      <c r="D28" s="504"/>
      <c r="E28" s="1504"/>
      <c r="F28" s="1505"/>
      <c r="G28" s="1505"/>
      <c r="H28" s="1505"/>
      <c r="I28" s="1505"/>
      <c r="J28" s="1505"/>
      <c r="K28" s="1505"/>
      <c r="L28" s="1505"/>
      <c r="M28" s="1505"/>
      <c r="N28" s="1505"/>
      <c r="O28" s="1505"/>
      <c r="P28" s="1505"/>
      <c r="Q28" s="1506"/>
      <c r="R28" s="1504"/>
      <c r="S28" s="1505"/>
      <c r="T28" s="1505"/>
      <c r="U28" s="1506"/>
      <c r="V28" s="1504"/>
      <c r="W28" s="1505"/>
      <c r="X28" s="1505"/>
      <c r="Y28" s="1506"/>
      <c r="Z28" s="1509"/>
      <c r="AA28" s="1497"/>
      <c r="AB28" s="1497"/>
      <c r="AC28" s="1497"/>
      <c r="AD28" s="1467"/>
      <c r="AE28" s="1468"/>
      <c r="AF28" s="1467"/>
      <c r="AG28" s="1468"/>
      <c r="AH28" s="1504"/>
      <c r="AI28" s="1506"/>
      <c r="AJ28" s="1467"/>
      <c r="AK28" s="1418"/>
      <c r="AL28" s="1418"/>
      <c r="AM28" s="1418"/>
      <c r="AN28" s="1418"/>
      <c r="AO28" s="1418"/>
      <c r="AP28" s="1418"/>
      <c r="AQ28" s="1471"/>
    </row>
    <row r="29" spans="1:43" ht="12" customHeight="1">
      <c r="A29" s="499"/>
      <c r="B29" s="500"/>
      <c r="C29" s="500"/>
      <c r="D29" s="501"/>
      <c r="E29" s="1498"/>
      <c r="F29" s="1499"/>
      <c r="G29" s="1499"/>
      <c r="H29" s="1499"/>
      <c r="I29" s="1499"/>
      <c r="J29" s="1499"/>
      <c r="K29" s="1499"/>
      <c r="L29" s="1499"/>
      <c r="M29" s="1499"/>
      <c r="N29" s="1499"/>
      <c r="O29" s="1499"/>
      <c r="P29" s="1499"/>
      <c r="Q29" s="1500"/>
      <c r="R29" s="1498"/>
      <c r="S29" s="1499"/>
      <c r="T29" s="1499"/>
      <c r="U29" s="1500"/>
      <c r="V29" s="1498"/>
      <c r="W29" s="1499"/>
      <c r="X29" s="1499"/>
      <c r="Y29" s="1500"/>
      <c r="Z29" s="1507"/>
      <c r="AA29" s="1495"/>
      <c r="AB29" s="1495"/>
      <c r="AC29" s="1495"/>
      <c r="AD29" s="1465"/>
      <c r="AE29" s="1466"/>
      <c r="AF29" s="1465"/>
      <c r="AG29" s="1466"/>
      <c r="AH29" s="1465"/>
      <c r="AI29" s="1466"/>
      <c r="AJ29" s="1465"/>
      <c r="AK29" s="1469"/>
      <c r="AL29" s="1469"/>
      <c r="AM29" s="1469"/>
      <c r="AN29" s="1469"/>
      <c r="AO29" s="1469"/>
      <c r="AP29" s="1469"/>
      <c r="AQ29" s="1470"/>
    </row>
    <row r="30" spans="1:43" ht="14.1" customHeight="1">
      <c r="A30" s="496"/>
      <c r="B30" s="497"/>
      <c r="C30" s="497"/>
      <c r="D30" s="498"/>
      <c r="E30" s="1501"/>
      <c r="F30" s="1502"/>
      <c r="G30" s="1502"/>
      <c r="H30" s="1502"/>
      <c r="I30" s="1502"/>
      <c r="J30" s="1502"/>
      <c r="K30" s="1502"/>
      <c r="L30" s="1502"/>
      <c r="M30" s="1502"/>
      <c r="N30" s="1502"/>
      <c r="O30" s="1502"/>
      <c r="P30" s="1502"/>
      <c r="Q30" s="1503"/>
      <c r="R30" s="1501"/>
      <c r="S30" s="1502"/>
      <c r="T30" s="1502"/>
      <c r="U30" s="1503"/>
      <c r="V30" s="1501"/>
      <c r="W30" s="1502"/>
      <c r="X30" s="1502"/>
      <c r="Y30" s="1503"/>
      <c r="Z30" s="1497"/>
      <c r="AA30" s="1497"/>
      <c r="AB30" s="1497"/>
      <c r="AC30" s="1497"/>
      <c r="AD30" s="1510"/>
      <c r="AE30" s="1513"/>
      <c r="AF30" s="1510"/>
      <c r="AG30" s="1513"/>
      <c r="AH30" s="1510"/>
      <c r="AI30" s="1513"/>
      <c r="AJ30" s="1510"/>
      <c r="AK30" s="1511"/>
      <c r="AL30" s="1511"/>
      <c r="AM30" s="1511"/>
      <c r="AN30" s="1511"/>
      <c r="AO30" s="1511"/>
      <c r="AP30" s="1511"/>
      <c r="AQ30" s="1512"/>
    </row>
    <row r="31" spans="1:43" ht="14.1" customHeight="1">
      <c r="A31" s="502"/>
      <c r="B31" s="503"/>
      <c r="C31" s="503"/>
      <c r="D31" s="504"/>
      <c r="E31" s="1504"/>
      <c r="F31" s="1505"/>
      <c r="G31" s="1505"/>
      <c r="H31" s="1505"/>
      <c r="I31" s="1505"/>
      <c r="J31" s="1505"/>
      <c r="K31" s="1505"/>
      <c r="L31" s="1505"/>
      <c r="M31" s="1505"/>
      <c r="N31" s="1505"/>
      <c r="O31" s="1505"/>
      <c r="P31" s="1505"/>
      <c r="Q31" s="1506"/>
      <c r="R31" s="1504"/>
      <c r="S31" s="1505"/>
      <c r="T31" s="1505"/>
      <c r="U31" s="1506"/>
      <c r="V31" s="1504"/>
      <c r="W31" s="1505"/>
      <c r="X31" s="1505"/>
      <c r="Y31" s="1506"/>
      <c r="Z31" s="1496"/>
      <c r="AA31" s="1496"/>
      <c r="AB31" s="1496"/>
      <c r="AC31" s="1496"/>
      <c r="AD31" s="1467"/>
      <c r="AE31" s="1468"/>
      <c r="AF31" s="1467"/>
      <c r="AG31" s="1468"/>
      <c r="AH31" s="1467"/>
      <c r="AI31" s="1468"/>
      <c r="AJ31" s="1467"/>
      <c r="AK31" s="1418"/>
      <c r="AL31" s="1418"/>
      <c r="AM31" s="1418"/>
      <c r="AN31" s="1418"/>
      <c r="AO31" s="1418"/>
      <c r="AP31" s="1418"/>
      <c r="AQ31" s="1471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567" t="s">
        <v>814</v>
      </c>
      <c r="B36" s="1568"/>
      <c r="C36" s="1568"/>
      <c r="D36" s="1568"/>
      <c r="E36" s="1568"/>
      <c r="F36" s="1568"/>
      <c r="G36" s="1568"/>
      <c r="H36" s="1568"/>
      <c r="I36" s="1568"/>
      <c r="J36" s="1568"/>
      <c r="K36" s="1568"/>
      <c r="L36" s="1568"/>
      <c r="M36" s="1568"/>
      <c r="N36" s="1570" t="s">
        <v>785</v>
      </c>
      <c r="O36" s="1563" t="s">
        <v>812</v>
      </c>
      <c r="P36" s="1564"/>
      <c r="Q36" s="1561" t="s">
        <v>785</v>
      </c>
      <c r="R36" s="1563" t="s">
        <v>811</v>
      </c>
      <c r="S36" s="1564"/>
      <c r="T36" s="1564"/>
      <c r="U36" s="1564"/>
      <c r="V36" s="1564"/>
      <c r="W36" s="1561" t="s">
        <v>785</v>
      </c>
      <c r="X36" s="1563" t="s">
        <v>810</v>
      </c>
      <c r="Y36" s="1564"/>
      <c r="Z36" s="1564"/>
      <c r="AA36" s="1564"/>
      <c r="AB36" s="1564"/>
      <c r="AC36" s="1564"/>
      <c r="AD36" s="1564"/>
      <c r="AE36" s="1564"/>
      <c r="AF36" s="1565"/>
      <c r="AG36" s="1563" t="s">
        <v>809</v>
      </c>
      <c r="AH36" s="1564"/>
      <c r="AI36" s="1564"/>
      <c r="AJ36" s="1564"/>
      <c r="AK36" s="1564"/>
      <c r="AL36" s="1564"/>
      <c r="AM36" s="1564"/>
      <c r="AN36" s="1564"/>
      <c r="AO36" s="1564"/>
      <c r="AP36" s="1564"/>
      <c r="AQ36" s="1565"/>
    </row>
    <row r="37" spans="1:43" ht="14.1" customHeight="1" thickBot="1">
      <c r="A37" s="1569"/>
      <c r="B37" s="1562"/>
      <c r="C37" s="1562"/>
      <c r="D37" s="1562"/>
      <c r="E37" s="1562"/>
      <c r="F37" s="1562"/>
      <c r="G37" s="1562"/>
      <c r="H37" s="1562"/>
      <c r="I37" s="1562"/>
      <c r="J37" s="1562"/>
      <c r="K37" s="1562"/>
      <c r="L37" s="1562"/>
      <c r="M37" s="1562"/>
      <c r="N37" s="1569"/>
      <c r="O37" s="1562"/>
      <c r="P37" s="1562"/>
      <c r="Q37" s="1562"/>
      <c r="R37" s="1562"/>
      <c r="S37" s="1562"/>
      <c r="T37" s="1562"/>
      <c r="U37" s="1562"/>
      <c r="V37" s="1562"/>
      <c r="W37" s="1562"/>
      <c r="X37" s="1562"/>
      <c r="Y37" s="1562"/>
      <c r="Z37" s="1562"/>
      <c r="AA37" s="1562"/>
      <c r="AB37" s="1562"/>
      <c r="AC37" s="1562"/>
      <c r="AD37" s="1562"/>
      <c r="AE37" s="1562"/>
      <c r="AF37" s="1566"/>
      <c r="AG37" s="1562"/>
      <c r="AH37" s="1562"/>
      <c r="AI37" s="1562"/>
      <c r="AJ37" s="1562"/>
      <c r="AK37" s="1562"/>
      <c r="AL37" s="1562"/>
      <c r="AM37" s="1562"/>
      <c r="AN37" s="1562"/>
      <c r="AO37" s="1562"/>
      <c r="AP37" s="1562"/>
      <c r="AQ37" s="1566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514" t="s">
        <v>945</v>
      </c>
      <c r="B41" s="1515"/>
      <c r="C41" s="1515"/>
      <c r="D41" s="1515"/>
      <c r="E41" s="1515"/>
      <c r="F41" s="1515"/>
      <c r="G41" s="1515"/>
      <c r="H41" s="1515"/>
      <c r="I41" s="1515"/>
      <c r="J41" s="1515"/>
      <c r="K41" s="1515"/>
      <c r="L41" s="1515"/>
      <c r="M41" s="1515"/>
      <c r="N41" s="1515"/>
      <c r="O41" s="1515"/>
      <c r="P41" s="1515"/>
      <c r="Q41" s="1515"/>
      <c r="R41" s="1515"/>
      <c r="S41" s="1515"/>
      <c r="T41" s="1515"/>
      <c r="U41" s="1515"/>
      <c r="V41" s="1515"/>
      <c r="W41" s="1515"/>
      <c r="X41" s="1515"/>
      <c r="Y41" s="1515"/>
      <c r="Z41" s="1515"/>
      <c r="AA41" s="1515"/>
      <c r="AB41" s="1515"/>
      <c r="AC41" s="1515"/>
      <c r="AD41" s="1515"/>
      <c r="AE41" s="1515"/>
      <c r="AF41" s="1515"/>
      <c r="AG41" s="1515"/>
      <c r="AH41" s="1515"/>
      <c r="AI41" s="1515"/>
      <c r="AJ41" s="1515"/>
      <c r="AK41" s="1515"/>
      <c r="AL41" s="1515"/>
      <c r="AM41" s="1515"/>
      <c r="AN41" s="1515"/>
      <c r="AO41" s="1515"/>
      <c r="AP41" s="1515"/>
      <c r="AQ41" s="1516"/>
    </row>
    <row r="42" spans="1:43" s="255" customFormat="1" ht="19.899999999999999" customHeight="1">
      <c r="A42" s="1517"/>
      <c r="B42" s="1511"/>
      <c r="C42" s="1511"/>
      <c r="D42" s="1511"/>
      <c r="E42" s="1511"/>
      <c r="F42" s="1511"/>
      <c r="G42" s="1511"/>
      <c r="H42" s="1511"/>
      <c r="I42" s="1511"/>
      <c r="J42" s="1511"/>
      <c r="K42" s="1511"/>
      <c r="L42" s="1511"/>
      <c r="M42" s="1511"/>
      <c r="N42" s="1511"/>
      <c r="O42" s="1511"/>
      <c r="P42" s="1511"/>
      <c r="Q42" s="1511"/>
      <c r="R42" s="1511"/>
      <c r="S42" s="1511"/>
      <c r="T42" s="1511"/>
      <c r="U42" s="1511"/>
      <c r="V42" s="1511"/>
      <c r="W42" s="1511"/>
      <c r="X42" s="1511"/>
      <c r="Y42" s="1511"/>
      <c r="Z42" s="1511"/>
      <c r="AA42" s="1511"/>
      <c r="AB42" s="1511"/>
      <c r="AC42" s="1511"/>
      <c r="AD42" s="1511"/>
      <c r="AE42" s="1511"/>
      <c r="AF42" s="1511"/>
      <c r="AG42" s="1511"/>
      <c r="AH42" s="1511"/>
      <c r="AI42" s="1511"/>
      <c r="AJ42" s="1511"/>
      <c r="AK42" s="1511"/>
      <c r="AL42" s="1511"/>
      <c r="AM42" s="1511"/>
      <c r="AN42" s="1511"/>
      <c r="AO42" s="1511"/>
      <c r="AP42" s="1511"/>
      <c r="AQ42" s="1512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518" t="s">
        <v>948</v>
      </c>
      <c r="AB44" s="1518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519" t="s">
        <v>950</v>
      </c>
      <c r="B46" s="1520"/>
      <c r="C46" s="1520"/>
      <c r="D46" s="1520"/>
      <c r="E46" s="1520"/>
      <c r="F46" s="1520"/>
      <c r="G46" s="1520"/>
      <c r="H46" s="1520"/>
      <c r="I46" s="1520"/>
      <c r="J46" s="1520"/>
      <c r="K46" s="1520"/>
      <c r="L46" s="1520"/>
      <c r="M46" s="1520"/>
      <c r="N46" s="1520"/>
      <c r="O46" s="1520"/>
      <c r="P46" s="1520"/>
      <c r="Q46" s="1520"/>
      <c r="R46" s="1522" t="s">
        <v>785</v>
      </c>
      <c r="S46" s="1522" t="s">
        <v>785</v>
      </c>
      <c r="T46" s="255"/>
      <c r="U46" s="1522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521"/>
      <c r="B47" s="1520"/>
      <c r="C47" s="1520"/>
      <c r="D47" s="1520"/>
      <c r="E47" s="1520"/>
      <c r="F47" s="1520"/>
      <c r="G47" s="1520"/>
      <c r="H47" s="1520"/>
      <c r="I47" s="1520"/>
      <c r="J47" s="1520"/>
      <c r="K47" s="1520"/>
      <c r="L47" s="1520"/>
      <c r="M47" s="1520"/>
      <c r="N47" s="1520"/>
      <c r="O47" s="1520"/>
      <c r="P47" s="1520"/>
      <c r="Q47" s="1520"/>
      <c r="R47" s="1523"/>
      <c r="S47" s="1523"/>
      <c r="T47" s="265"/>
      <c r="U47" s="1523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524" t="s">
        <v>952</v>
      </c>
      <c r="B48" s="1525"/>
      <c r="C48" s="1525"/>
      <c r="D48" s="1525"/>
      <c r="E48" s="1525"/>
      <c r="F48" s="1525"/>
      <c r="G48" s="1525"/>
      <c r="H48" s="1525"/>
      <c r="I48" s="1525"/>
      <c r="J48" s="1525"/>
      <c r="K48" s="1525"/>
      <c r="L48" s="1525"/>
      <c r="M48" s="1525"/>
      <c r="N48" s="1525"/>
      <c r="O48" s="1525"/>
      <c r="P48" s="1525"/>
      <c r="Q48" s="1525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526" t="s">
        <v>953</v>
      </c>
      <c r="B49" s="1527"/>
      <c r="C49" s="1527"/>
      <c r="D49" s="1527"/>
      <c r="E49" s="1527"/>
      <c r="F49" s="1527"/>
      <c r="G49" s="1527"/>
      <c r="H49" s="1527"/>
      <c r="I49" s="1527"/>
      <c r="J49" s="1527"/>
      <c r="K49" s="1527"/>
      <c r="L49" s="1527"/>
      <c r="M49" s="1527"/>
      <c r="N49" s="1527"/>
      <c r="O49" s="1527"/>
      <c r="P49" s="1527"/>
      <c r="Q49" s="1527"/>
      <c r="R49" s="1527"/>
      <c r="S49" s="1527"/>
      <c r="T49" s="1527"/>
      <c r="U49" s="1527"/>
      <c r="V49" s="1527"/>
      <c r="W49" s="1527"/>
      <c r="X49" s="1527"/>
      <c r="Y49" s="1527"/>
      <c r="Z49" s="1527"/>
      <c r="AA49" s="1527"/>
      <c r="AB49" s="1527"/>
      <c r="AC49" s="1527"/>
      <c r="AD49" s="1527"/>
      <c r="AE49" s="1527"/>
      <c r="AF49" s="1527"/>
      <c r="AG49" s="1527"/>
      <c r="AH49" s="1527"/>
      <c r="AI49" s="1527"/>
      <c r="AJ49" s="1527"/>
      <c r="AK49" s="1527"/>
      <c r="AL49" s="1527"/>
      <c r="AM49" s="1527"/>
      <c r="AN49" s="1527"/>
      <c r="AO49" s="1527"/>
      <c r="AP49" s="1527"/>
      <c r="AQ49" s="1528"/>
    </row>
    <row r="50" spans="1:43" s="255" customFormat="1" ht="24.75" customHeight="1">
      <c r="A50" s="1529" t="s">
        <v>861</v>
      </c>
      <c r="B50" s="1530"/>
      <c r="C50" s="1530"/>
      <c r="D50" s="1530"/>
      <c r="E50" s="1530"/>
      <c r="F50" s="1531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532"/>
      <c r="X50" s="1533"/>
      <c r="Y50" s="1533"/>
      <c r="Z50" s="1533"/>
      <c r="AA50" s="1533"/>
      <c r="AB50" s="1533"/>
      <c r="AC50" s="1533"/>
      <c r="AD50" s="1533"/>
      <c r="AE50" s="1533"/>
      <c r="AF50" s="1533"/>
      <c r="AG50" s="1533"/>
      <c r="AH50" s="1533"/>
      <c r="AI50" s="1533"/>
      <c r="AJ50" s="1533"/>
      <c r="AK50" s="1533"/>
      <c r="AL50" s="1533"/>
      <c r="AM50" s="1533"/>
      <c r="AN50" s="1533"/>
      <c r="AO50" s="1533"/>
      <c r="AP50" s="1533"/>
      <c r="AQ50" s="1534"/>
    </row>
    <row r="51" spans="1:43" s="255" customFormat="1" ht="25.5" customHeight="1">
      <c r="A51" s="1535" t="s">
        <v>954</v>
      </c>
      <c r="B51" s="1536"/>
      <c r="C51" s="1536"/>
      <c r="D51" s="1536"/>
      <c r="E51" s="1536"/>
      <c r="F51" s="1537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538"/>
      <c r="X51" s="1420"/>
      <c r="Y51" s="1420"/>
      <c r="Z51" s="1420"/>
      <c r="AA51" s="1420"/>
      <c r="AB51" s="1420"/>
      <c r="AC51" s="1420"/>
      <c r="AD51" s="1420"/>
      <c r="AE51" s="1420"/>
      <c r="AF51" s="1420"/>
      <c r="AG51" s="1420"/>
      <c r="AH51" s="1420"/>
      <c r="AI51" s="1420"/>
      <c r="AJ51" s="1420"/>
      <c r="AK51" s="1420"/>
      <c r="AL51" s="1420"/>
      <c r="AM51" s="1420"/>
      <c r="AN51" s="1420"/>
      <c r="AO51" s="1420"/>
      <c r="AP51" s="1420"/>
      <c r="AQ51" s="1539"/>
    </row>
    <row r="52" spans="1:43" s="255" customFormat="1" ht="15" customHeight="1">
      <c r="A52" s="1548" t="s">
        <v>955</v>
      </c>
      <c r="B52" s="1425"/>
      <c r="C52" s="1549"/>
      <c r="D52" s="552"/>
      <c r="E52" s="1554" t="s">
        <v>956</v>
      </c>
      <c r="F52" s="1425"/>
      <c r="G52" s="1425"/>
      <c r="H52" s="1425"/>
      <c r="I52" s="1549"/>
      <c r="J52" s="552"/>
      <c r="K52" s="552"/>
      <c r="L52" s="552"/>
      <c r="M52" s="552"/>
      <c r="N52" s="552"/>
      <c r="O52" s="552"/>
      <c r="P52" s="552"/>
      <c r="Q52" s="552"/>
      <c r="R52" s="1541" t="s">
        <v>849</v>
      </c>
      <c r="S52" s="1425"/>
      <c r="T52" s="1425"/>
      <c r="U52" s="1425"/>
      <c r="V52" s="1549"/>
      <c r="W52" s="1558"/>
      <c r="X52" s="1425"/>
      <c r="Y52" s="1425"/>
      <c r="Z52" s="1425"/>
      <c r="AA52" s="1425"/>
      <c r="AB52" s="1425"/>
      <c r="AC52" s="1425"/>
      <c r="AD52" s="1425"/>
      <c r="AE52" s="1549"/>
      <c r="AF52" s="535"/>
      <c r="AG52" s="536"/>
      <c r="AH52" s="537"/>
      <c r="AI52" s="1558"/>
      <c r="AJ52" s="1425"/>
      <c r="AK52" s="1425"/>
      <c r="AL52" s="1549"/>
      <c r="AM52" s="535"/>
      <c r="AN52" s="536"/>
      <c r="AO52" s="536"/>
      <c r="AP52" s="536"/>
      <c r="AQ52" s="565"/>
    </row>
    <row r="53" spans="1:43" s="255" customFormat="1" ht="15.75" customHeight="1">
      <c r="A53" s="1550"/>
      <c r="B53" s="1533"/>
      <c r="C53" s="1551"/>
      <c r="D53" s="554"/>
      <c r="E53" s="1555"/>
      <c r="F53" s="1556"/>
      <c r="G53" s="1556"/>
      <c r="H53" s="1556"/>
      <c r="I53" s="1557"/>
      <c r="J53" s="554"/>
      <c r="K53" s="554"/>
      <c r="L53" s="554"/>
      <c r="M53" s="554"/>
      <c r="N53" s="554"/>
      <c r="O53" s="554"/>
      <c r="P53" s="554"/>
      <c r="Q53" s="554"/>
      <c r="R53" s="1532"/>
      <c r="S53" s="1533"/>
      <c r="T53" s="1533"/>
      <c r="U53" s="1533"/>
      <c r="V53" s="1551"/>
      <c r="W53" s="1532"/>
      <c r="X53" s="1533"/>
      <c r="Y53" s="1533"/>
      <c r="Z53" s="1533"/>
      <c r="AA53" s="1533"/>
      <c r="AB53" s="1533"/>
      <c r="AC53" s="1533"/>
      <c r="AD53" s="1533"/>
      <c r="AE53" s="1551"/>
      <c r="AF53" s="538"/>
      <c r="AG53" s="559"/>
      <c r="AH53" s="531"/>
      <c r="AI53" s="1532"/>
      <c r="AJ53" s="1533"/>
      <c r="AK53" s="1533"/>
      <c r="AL53" s="1551"/>
      <c r="AM53" s="538"/>
      <c r="AN53" s="559"/>
      <c r="AO53" s="559"/>
      <c r="AP53" s="559"/>
      <c r="AQ53" s="566"/>
    </row>
    <row r="54" spans="1:43" s="255" customFormat="1" ht="13.5" customHeight="1">
      <c r="A54" s="1550"/>
      <c r="B54" s="1533"/>
      <c r="C54" s="1551"/>
      <c r="D54" s="539"/>
      <c r="E54" s="1559" t="s">
        <v>957</v>
      </c>
      <c r="F54" s="1425"/>
      <c r="G54" s="1425"/>
      <c r="H54" s="1425"/>
      <c r="I54" s="1549"/>
      <c r="J54" s="540"/>
      <c r="K54" s="552"/>
      <c r="L54" s="552"/>
      <c r="M54" s="552"/>
      <c r="N54" s="552"/>
      <c r="O54" s="552"/>
      <c r="P54" s="552"/>
      <c r="Q54" s="552"/>
      <c r="R54" s="1532"/>
      <c r="S54" s="1533"/>
      <c r="T54" s="1533"/>
      <c r="U54" s="1533"/>
      <c r="V54" s="1551"/>
      <c r="W54" s="1532"/>
      <c r="X54" s="1533"/>
      <c r="Y54" s="1533"/>
      <c r="Z54" s="1533"/>
      <c r="AA54" s="1533"/>
      <c r="AB54" s="1533"/>
      <c r="AC54" s="1533"/>
      <c r="AD54" s="1533"/>
      <c r="AE54" s="1551"/>
      <c r="AF54" s="553"/>
      <c r="AG54" s="554"/>
      <c r="AH54" s="557"/>
      <c r="AI54" s="1555"/>
      <c r="AJ54" s="1556"/>
      <c r="AK54" s="1556"/>
      <c r="AL54" s="1557"/>
      <c r="AM54" s="541"/>
      <c r="AN54" s="542"/>
      <c r="AO54" s="542"/>
      <c r="AP54" s="542"/>
      <c r="AQ54" s="567"/>
    </row>
    <row r="55" spans="1:43" s="255" customFormat="1" ht="12.75" customHeight="1">
      <c r="A55" s="1550"/>
      <c r="B55" s="1533"/>
      <c r="C55" s="1551"/>
      <c r="D55" s="560" t="s">
        <v>956</v>
      </c>
      <c r="E55" s="1556"/>
      <c r="F55" s="1556"/>
      <c r="G55" s="1556"/>
      <c r="H55" s="1556"/>
      <c r="I55" s="1557"/>
      <c r="J55" s="555"/>
      <c r="K55" s="556"/>
      <c r="L55" s="556"/>
      <c r="M55" s="556"/>
      <c r="N55" s="556"/>
      <c r="O55" s="556"/>
      <c r="P55" s="556"/>
      <c r="Q55" s="556"/>
      <c r="R55" s="1555"/>
      <c r="S55" s="1556"/>
      <c r="T55" s="1556"/>
      <c r="U55" s="1556"/>
      <c r="V55" s="1557"/>
      <c r="W55" s="1555"/>
      <c r="X55" s="1556"/>
      <c r="Y55" s="1556"/>
      <c r="Z55" s="1556"/>
      <c r="AA55" s="1556"/>
      <c r="AB55" s="1556"/>
      <c r="AC55" s="1556"/>
      <c r="AD55" s="1556"/>
      <c r="AE55" s="1557"/>
      <c r="AF55" s="1467" t="s">
        <v>872</v>
      </c>
      <c r="AG55" s="1418"/>
      <c r="AH55" s="1468"/>
      <c r="AI55" s="1560" t="s">
        <v>11</v>
      </c>
      <c r="AJ55" s="1505"/>
      <c r="AK55" s="1505"/>
      <c r="AL55" s="1557"/>
      <c r="AM55" s="1540" t="s">
        <v>12</v>
      </c>
      <c r="AN55" s="1421"/>
      <c r="AO55" s="1421"/>
      <c r="AP55" s="1421"/>
      <c r="AQ55" s="1427"/>
    </row>
    <row r="56" spans="1:43" s="255" customFormat="1" ht="15" customHeight="1">
      <c r="A56" s="1550"/>
      <c r="B56" s="1533"/>
      <c r="C56" s="1551"/>
      <c r="D56" s="489" t="s">
        <v>958</v>
      </c>
      <c r="E56" s="1541" t="s">
        <v>959</v>
      </c>
      <c r="F56" s="1425"/>
      <c r="G56" s="1425"/>
      <c r="H56" s="1425"/>
      <c r="I56" s="1425"/>
      <c r="J56" s="543"/>
      <c r="K56" s="544"/>
      <c r="L56" s="544"/>
      <c r="M56" s="544"/>
      <c r="N56" s="544"/>
      <c r="O56" s="544"/>
      <c r="P56" s="544"/>
      <c r="Q56" s="545"/>
      <c r="R56" s="1544" t="s">
        <v>960</v>
      </c>
      <c r="S56" s="1520"/>
      <c r="T56" s="1520"/>
      <c r="U56" s="1520"/>
      <c r="V56" s="1520"/>
      <c r="W56" s="1520"/>
      <c r="X56" s="1520"/>
      <c r="Y56" s="1520"/>
      <c r="Z56" s="1520"/>
      <c r="AA56" s="1520"/>
      <c r="AB56" s="1520"/>
      <c r="AC56" s="1520"/>
      <c r="AD56" s="1520"/>
      <c r="AE56" s="1520"/>
      <c r="AF56" s="1520"/>
      <c r="AG56" s="1520"/>
      <c r="AH56" s="1520"/>
      <c r="AI56" s="1520"/>
      <c r="AJ56" s="1520"/>
      <c r="AK56" s="1520"/>
      <c r="AL56" s="1520"/>
      <c r="AM56" s="1520"/>
      <c r="AN56" s="1520"/>
      <c r="AO56" s="1520"/>
      <c r="AP56" s="1520"/>
      <c r="AQ56" s="1545"/>
    </row>
    <row r="57" spans="1:43" s="255" customFormat="1" ht="15" customHeight="1" thickBot="1">
      <c r="A57" s="1552"/>
      <c r="B57" s="1543"/>
      <c r="C57" s="1553"/>
      <c r="D57" s="546" t="s">
        <v>854</v>
      </c>
      <c r="E57" s="1542"/>
      <c r="F57" s="1543"/>
      <c r="G57" s="1543"/>
      <c r="H57" s="1543"/>
      <c r="I57" s="1543"/>
      <c r="J57" s="568"/>
      <c r="K57" s="569"/>
      <c r="L57" s="569"/>
      <c r="M57" s="569"/>
      <c r="N57" s="569"/>
      <c r="O57" s="569"/>
      <c r="P57" s="569"/>
      <c r="Q57" s="570"/>
      <c r="R57" s="1546"/>
      <c r="S57" s="1546"/>
      <c r="T57" s="1546"/>
      <c r="U57" s="1546"/>
      <c r="V57" s="1546"/>
      <c r="W57" s="1546"/>
      <c r="X57" s="1546"/>
      <c r="Y57" s="1546"/>
      <c r="Z57" s="1546"/>
      <c r="AA57" s="1546"/>
      <c r="AB57" s="1546"/>
      <c r="AC57" s="1546"/>
      <c r="AD57" s="1546"/>
      <c r="AE57" s="1546"/>
      <c r="AF57" s="1546"/>
      <c r="AG57" s="1546"/>
      <c r="AH57" s="1546"/>
      <c r="AI57" s="1546"/>
      <c r="AJ57" s="1546"/>
      <c r="AK57" s="1546"/>
      <c r="AL57" s="1546"/>
      <c r="AM57" s="1546"/>
      <c r="AN57" s="1546"/>
      <c r="AO57" s="1546"/>
      <c r="AP57" s="1546"/>
      <c r="AQ57" s="1547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W36:W37"/>
    <mergeCell ref="X36:AF37"/>
    <mergeCell ref="AG36:AQ37"/>
    <mergeCell ref="A36:M37"/>
    <mergeCell ref="N36:N37"/>
    <mergeCell ref="O36:P37"/>
    <mergeCell ref="Q36:Q37"/>
    <mergeCell ref="R36:V37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A48:Q48"/>
    <mergeCell ref="A49:AQ49"/>
    <mergeCell ref="A50:F50"/>
    <mergeCell ref="W50:AQ50"/>
    <mergeCell ref="A51:F51"/>
    <mergeCell ref="W51:AQ51"/>
    <mergeCell ref="A41:AQ42"/>
    <mergeCell ref="AA44:AB44"/>
    <mergeCell ref="A46:Q47"/>
    <mergeCell ref="R46:R47"/>
    <mergeCell ref="S46:S47"/>
    <mergeCell ref="U46:U47"/>
    <mergeCell ref="AB29:AB31"/>
    <mergeCell ref="AC29:AC31"/>
    <mergeCell ref="AD29:AE31"/>
    <mergeCell ref="AF29:AG31"/>
    <mergeCell ref="AH29:AI31"/>
    <mergeCell ref="AJ29:AQ31"/>
    <mergeCell ref="AC26:AC28"/>
    <mergeCell ref="AD26:AE28"/>
    <mergeCell ref="AF26:AG28"/>
    <mergeCell ref="AH26:AI28"/>
    <mergeCell ref="AJ26:AQ28"/>
    <mergeCell ref="E29:Q31"/>
    <mergeCell ref="R29:U31"/>
    <mergeCell ref="V29:Y31"/>
    <mergeCell ref="Z29:Z31"/>
    <mergeCell ref="AA29:AA31"/>
    <mergeCell ref="E26:Q28"/>
    <mergeCell ref="R26:U28"/>
    <mergeCell ref="V26:Y28"/>
    <mergeCell ref="Z26:Z28"/>
    <mergeCell ref="AA26:AA28"/>
    <mergeCell ref="AB26:AB28"/>
    <mergeCell ref="AB24:AB25"/>
    <mergeCell ref="AC24:AC25"/>
    <mergeCell ref="AD24:AE25"/>
    <mergeCell ref="AF24:AG25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12:F12"/>
    <mergeCell ref="G12:AB12"/>
    <mergeCell ref="AD12:AQ12"/>
    <mergeCell ref="A13:F13"/>
    <mergeCell ref="G13:AB13"/>
    <mergeCell ref="AD13:AQ13"/>
    <mergeCell ref="A10:E10"/>
    <mergeCell ref="F10:AB10"/>
    <mergeCell ref="AD10:AQ10"/>
    <mergeCell ref="A11:J11"/>
    <mergeCell ref="K11:AB11"/>
    <mergeCell ref="AD11:AQ11"/>
    <mergeCell ref="AJ1:AP1"/>
    <mergeCell ref="A5:AH6"/>
    <mergeCell ref="AH8:AQ8"/>
    <mergeCell ref="A9:G9"/>
    <mergeCell ref="H9:Q9"/>
    <mergeCell ref="R9:T9"/>
    <mergeCell ref="U9:AB9"/>
    <mergeCell ref="AC9:AQ9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1" t="s">
        <v>78</v>
      </c>
      <c r="C1" s="1571"/>
      <c r="D1" s="1571"/>
      <c r="E1" s="1571"/>
      <c r="F1" s="1572" t="s">
        <v>79</v>
      </c>
      <c r="G1" s="1572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73" t="s">
        <v>979</v>
      </c>
      <c r="F1" s="1573"/>
      <c r="G1" s="1573"/>
      <c r="H1" s="1573"/>
      <c r="I1" s="1573"/>
      <c r="J1" s="1573"/>
      <c r="K1" s="1573"/>
      <c r="L1" s="1573"/>
      <c r="M1" s="1573"/>
      <c r="N1" s="1573"/>
      <c r="O1" s="1573"/>
      <c r="P1" s="579"/>
      <c r="Q1" s="1573" t="s">
        <v>980</v>
      </c>
      <c r="R1" s="1573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74"/>
      <c r="B3" s="1574"/>
      <c r="C3" s="1574"/>
      <c r="D3" s="1574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2022-07-23T23:33:30Z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