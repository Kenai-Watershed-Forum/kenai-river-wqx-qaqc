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embeddings/oleObject2.bin" ContentType="application/vnd.openxmlformats-officedocument.oleObject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embeddings/oleObject3.bin" ContentType="application/vnd.openxmlformats-officedocument.oleObject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hared drives\Active Projects\Agency Baseline\2023 Agency Baseline_dev\Spring\Chain of Custody Blank Forms\"/>
    </mc:Choice>
  </mc:AlternateContent>
  <bookViews>
    <workbookView xWindow="0" yWindow="0" windowWidth="25590" windowHeight="10995" tabRatio="945" activeTab="3"/>
  </bookViews>
  <sheets>
    <sheet name="1 - Instructions" sheetId="6" r:id="rId1"/>
    <sheet name="2 - Kit Request" sheetId="9" r:id="rId2"/>
    <sheet name="3 - Prepaid Kit Request_COC" sheetId="12" r:id="rId3"/>
    <sheet name="4 - Standard COC" sheetId="1" r:id="rId4"/>
    <sheet name="WasteWater" sheetId="5" state="hidden" r:id="rId5"/>
    <sheet name="Mining" sheetId="4" state="hidden" r:id="rId6"/>
    <sheet name="Landfill" sheetId="8" state="hidden" r:id="rId7"/>
    <sheet name="UST" sheetId="2" state="hidden" r:id="rId8"/>
    <sheet name="TCLP" sheetId="3" state="hidden" r:id="rId9"/>
    <sheet name="5 - DW Long COC" sheetId="15" r:id="rId10"/>
    <sheet name="6 - DW Short COC" sheetId="14" r:id="rId11"/>
    <sheet name="7 - Total Coli COC" sheetId="16" r:id="rId12"/>
    <sheet name="8 - DW Non-PWS COC" sheetId="17" r:id="rId13"/>
    <sheet name="9 - Sample Guide" sheetId="10" r:id="rId14"/>
    <sheet name="10-PFAS" sheetId="18" r:id="rId15"/>
  </sheets>
  <definedNames>
    <definedName name="_xlnm._FilterDatabase" localSheetId="13" hidden="1">'9 - Sample Guide'!$A$2:$H$256</definedName>
    <definedName name="_xlnm.Print_Area" localSheetId="1">'2 - Kit Request'!$A$1:$M$45</definedName>
    <definedName name="_xlnm.Print_Area" localSheetId="2">'3 - Prepaid Kit Request_COC'!$A$1:$L$35</definedName>
    <definedName name="_xlnm.Print_Area" localSheetId="3">'4 - Standard COC'!$A$1:$AM$40</definedName>
    <definedName name="_xlnm.Print_Area" localSheetId="9">'5 - DW Long COC'!$A$1:$AM$39</definedName>
    <definedName name="_xlnm.Print_Area" localSheetId="11">'7 - Total Coli COC'!$A:$I</definedName>
    <definedName name="_xlnm.Print_Area" localSheetId="6">Landfill!$A$1:$AM$39</definedName>
    <definedName name="_xlnm.Print_Area" localSheetId="5">Mining!$A$1:$AM$39</definedName>
    <definedName name="_xlnm.Print_Area" localSheetId="8">TCLP!$A$1:$AM$39</definedName>
    <definedName name="_xlnm.Print_Area" localSheetId="7">UST!$A$1:$AM$39</definedName>
    <definedName name="_xlnm.Print_Area" localSheetId="4">WasteWater!$A$1:$AM$39</definedName>
    <definedName name="_xlnm.Print_Titles" localSheetId="13">'9 - Sample Guide'!$2:$2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1" i="1" l="1"/>
  <c r="AB9" i="1" l="1"/>
  <c r="AA9" i="1"/>
  <c r="Z9" i="1"/>
  <c r="F7" i="1" l="1"/>
  <c r="N13" i="1"/>
  <c r="O12" i="1"/>
  <c r="O11" i="1"/>
  <c r="F7" i="15"/>
  <c r="O10" i="1"/>
  <c r="AH11" i="1"/>
  <c r="AG11" i="1"/>
  <c r="AF11" i="1"/>
  <c r="AE11" i="1"/>
  <c r="AD11" i="1"/>
  <c r="AC11" i="1"/>
  <c r="AB11" i="1"/>
  <c r="AA11" i="1"/>
  <c r="Z11" i="1"/>
  <c r="O9" i="1"/>
  <c r="C13" i="1"/>
  <c r="F9" i="1"/>
  <c r="AH9" i="1" l="1"/>
  <c r="AG9" i="1"/>
  <c r="AE9" i="1"/>
  <c r="AC9" i="1"/>
  <c r="Y9" i="1" l="1"/>
  <c r="AD9" i="1"/>
  <c r="AF9" i="1"/>
  <c r="AB11" i="15" l="1"/>
  <c r="AA11" i="15"/>
  <c r="Z11" i="15"/>
  <c r="Y11" i="15"/>
  <c r="O11" i="15" l="1"/>
  <c r="F12" i="14" l="1"/>
  <c r="O10" i="15"/>
  <c r="AB9" i="15"/>
  <c r="AA9" i="15"/>
  <c r="Z9" i="15"/>
  <c r="Y9" i="15"/>
  <c r="O9" i="15"/>
  <c r="O8" i="15"/>
  <c r="F9" i="15"/>
  <c r="F8" i="15"/>
  <c r="O12" i="15" l="1"/>
  <c r="C13" i="15"/>
  <c r="AG26" i="15"/>
  <c r="F1" i="9" l="1"/>
  <c r="C15" i="9" l="1"/>
  <c r="C15" i="12"/>
  <c r="C14" i="12"/>
  <c r="C13" i="12"/>
  <c r="C11" i="12"/>
  <c r="N7" i="9"/>
  <c r="N8" i="9" l="1"/>
</calcChain>
</file>

<file path=xl/comments1.xml><?xml version="1.0" encoding="utf-8"?>
<comments xmlns="http://schemas.openxmlformats.org/spreadsheetml/2006/main">
  <authors>
    <author>Heather L. Hall</author>
  </authors>
  <commentList>
    <comment ref="B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 for matrices.</t>
        </r>
      </text>
    </comment>
    <comment ref="E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bottle size and type.</t>
        </r>
      </text>
    </comment>
    <comment ref="G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commonly used preservatives.</t>
        </r>
      </text>
    </comment>
  </commentList>
</comments>
</file>

<file path=xl/comments2.xml><?xml version="1.0" encoding="utf-8"?>
<comments xmlns="http://schemas.openxmlformats.org/spreadsheetml/2006/main">
  <authors>
    <author>Nicole J Warner</author>
  </authors>
  <commentList>
    <comment ref="AB15" authorId="0" shapeId="0">
      <text>
        <r>
          <rPr>
            <b/>
            <sz val="9"/>
            <color rgb="FF000000"/>
            <rFont val="Tahoma"/>
            <family val="2"/>
          </rPr>
          <t>Nicole J Warner: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Heather Hall</author>
  </authors>
  <commentList>
    <comment ref="D2" authorId="0" shapeId="0">
      <text>
        <r>
          <rPr>
            <b/>
            <sz val="10"/>
            <color indexed="81"/>
            <rFont val="Tahoma"/>
            <family val="2"/>
          </rPr>
          <t>Heather Hall:</t>
        </r>
        <r>
          <rPr>
            <sz val="10"/>
            <color indexed="81"/>
            <rFont val="Tahoma"/>
            <family val="2"/>
          </rPr>
          <t xml:space="preserve">
Solids indicate minimum mass +12 gram.  The +12 is for % solids determination.</t>
        </r>
      </text>
    </comment>
  </commentList>
</comments>
</file>

<file path=xl/sharedStrings.xml><?xml version="1.0" encoding="utf-8"?>
<sst xmlns="http://schemas.openxmlformats.org/spreadsheetml/2006/main" count="3367" uniqueCount="1208">
  <si>
    <t>CLIENT:</t>
  </si>
  <si>
    <t>CONTACT:</t>
  </si>
  <si>
    <t>REPORTS TO:</t>
  </si>
  <si>
    <t>INVOICE TO:</t>
  </si>
  <si>
    <t>QUOTE #:</t>
  </si>
  <si>
    <t>SAMPLE IDENTIFICATION</t>
  </si>
  <si>
    <t>Relinquished By: (2)</t>
  </si>
  <si>
    <t>Relinquished By: (3)</t>
  </si>
  <si>
    <t>Relinquished By: (4)</t>
  </si>
  <si>
    <t>Received By:</t>
  </si>
  <si>
    <t>Received For Laboratory By:</t>
  </si>
  <si>
    <t>Date</t>
  </si>
  <si>
    <t>Time</t>
  </si>
  <si>
    <t>Chain of Custody Seal: (Circle)</t>
  </si>
  <si>
    <t>CHAIN OF CUSTODY RECORD</t>
  </si>
  <si>
    <t>Locations Nationwide</t>
  </si>
  <si>
    <t>Alaska</t>
  </si>
  <si>
    <t>Maryland</t>
  </si>
  <si>
    <t>New Jersey</t>
  </si>
  <si>
    <t xml:space="preserve"> </t>
  </si>
  <si>
    <t>PHONE NO:</t>
  </si>
  <si>
    <t>North Carolina</t>
  </si>
  <si>
    <t>C = 
COMP</t>
  </si>
  <si>
    <t>G = 
GRAB</t>
  </si>
  <si>
    <t>www.us.sgs.com</t>
  </si>
  <si>
    <t>New York</t>
  </si>
  <si>
    <t>West Virgina</t>
  </si>
  <si>
    <t>MATRIX/   MATRIX CODE</t>
  </si>
  <si>
    <t>E-MAIL:</t>
  </si>
  <si>
    <t>P.O. #:</t>
  </si>
  <si>
    <t>SGS North America Inc.</t>
  </si>
  <si>
    <t>(See attached Sample Receipt Form)</t>
  </si>
  <si>
    <t xml:space="preserve">
Cooler ID:  ______________________</t>
  </si>
  <si>
    <t>Indiana</t>
  </si>
  <si>
    <t>RESERVED
for lab use</t>
  </si>
  <si>
    <t>TYPE</t>
  </si>
  <si>
    <t>Kentucky</t>
  </si>
  <si>
    <t>PROJECT
NAME:</t>
  </si>
  <si>
    <t>PROJECT/
PWSID/
PERMIT#:</t>
  </si>
  <si>
    <t>MI = 
Multi 
Incre-
mental
Soils</t>
  </si>
  <si>
    <t>REMARKS/
LOC ID</t>
  </si>
  <si>
    <r>
      <t xml:space="preserve">200 W. Potter Drive </t>
    </r>
    <r>
      <rPr>
        <b/>
        <sz val="10"/>
        <rFont val="Arial"/>
        <family val="2"/>
      </rPr>
      <t xml:space="preserve">Anchorage, AK 99518 </t>
    </r>
    <r>
      <rPr>
        <sz val="10"/>
        <rFont val="Arial"/>
        <family val="2"/>
      </rPr>
      <t xml:space="preserve"> Tel: (907) 562-2343  Fax: (907) 561-5301</t>
    </r>
  </si>
  <si>
    <r>
      <t xml:space="preserve">5500 Business Drive </t>
    </r>
    <r>
      <rPr>
        <b/>
        <sz val="10"/>
        <rFont val="Arial"/>
        <family val="2"/>
      </rPr>
      <t>Wilmington, NC 28405</t>
    </r>
    <r>
      <rPr>
        <sz val="10"/>
        <rFont val="Arial"/>
        <family val="2"/>
      </rPr>
      <t xml:space="preserve"> Tel: (910) 350-1903  Fax: (910) 350-1557</t>
    </r>
  </si>
  <si>
    <t xml:space="preserve">  or  Ambient  [  ]</t>
  </si>
  <si>
    <t>Temp Blank °C:  ____________________</t>
  </si>
  <si>
    <t>Data Deliverable Requirements:</t>
  </si>
  <si>
    <t>[    ]</t>
  </si>
  <si>
    <t>INTACT     BROKEN     ABSENT</t>
  </si>
  <si>
    <t>Page  ____ of ____</t>
  </si>
  <si>
    <t>BOD SM 5210B</t>
  </si>
  <si>
    <t>ALKALINITY SM2320B</t>
  </si>
  <si>
    <t>pH SM4500H-B</t>
  </si>
  <si>
    <t>FECAL COLI SM9222-D</t>
  </si>
  <si>
    <t>TDS/ TSS  SM2540C/SM2540D</t>
  </si>
  <si>
    <t>Ignitability 1020</t>
  </si>
  <si>
    <t>TCLP  Herbicides 
1311/8151</t>
  </si>
  <si>
    <t>DATE
mm/dd/yy</t>
  </si>
  <si>
    <t>TIME
HH:MM</t>
  </si>
  <si>
    <r>
      <t xml:space="preserve"># </t>
    </r>
    <r>
      <rPr>
        <b/>
        <sz val="14"/>
        <rFont val="Kartika"/>
        <family val="1"/>
      </rPr>
      <t>CONTAINERS</t>
    </r>
  </si>
  <si>
    <t>200 W. Potter Drive Anchorage, AK 99518  Tel: (907) 562-2343  Fax: (907) 561-5301</t>
  </si>
  <si>
    <t>5500 Business Drive Wilmington, NC 28405 Tel: (910) 350-1903  Fax: (910) 350-1557</t>
  </si>
  <si>
    <t>DATE
MM/DD/YY</t>
  </si>
  <si>
    <t># CONTAINERS</t>
  </si>
  <si>
    <t>Res. CL- SM4500CL-G
Total  Free</t>
  </si>
  <si>
    <t>TSS SM2540D</t>
  </si>
  <si>
    <t>Water</t>
  </si>
  <si>
    <t>for WasteWater</t>
  </si>
  <si>
    <t>1:  Provide client contact information.</t>
  </si>
  <si>
    <t>2:  Complete sample identification and collection information.</t>
  </si>
  <si>
    <t>3:  Indicate the tests which are required and their preservatives.</t>
  </si>
  <si>
    <t xml:space="preserve">     Add any additional tests needed into the available fields.</t>
  </si>
  <si>
    <t>4:  Indicate the deliverables required and any special requirements.</t>
  </si>
  <si>
    <t>5:  Relinquish chain of custody (i.e., sign, date and time)</t>
  </si>
  <si>
    <t>Please double check to make sure that all areas are filled out completely.</t>
  </si>
  <si>
    <t>Directions:</t>
  </si>
  <si>
    <t>Fill in all information:</t>
  </si>
  <si>
    <t>Table of Contents for each tab in this workbook:</t>
  </si>
  <si>
    <t>Sample Kit Request</t>
  </si>
  <si>
    <t>SGS North America Inc. - Alaska Division</t>
  </si>
  <si>
    <t>Sample Guide:  Methods, Bottles, Preservatives &amp; Hold Times</t>
  </si>
  <si>
    <t>Parameter</t>
  </si>
  <si>
    <t xml:space="preserve"> Method </t>
  </si>
  <si>
    <t>Matrix</t>
  </si>
  <si>
    <t>Minimum Sample Size
(not enough for batch QC)</t>
  </si>
  <si>
    <t>Recommended
Container/Size</t>
  </si>
  <si>
    <t>Preservative</t>
  </si>
  <si>
    <t>Other Notes</t>
  </si>
  <si>
    <t>Acidity as CaCO3</t>
  </si>
  <si>
    <t>SM 2310B</t>
  </si>
  <si>
    <t>water</t>
  </si>
  <si>
    <t>40 ml</t>
  </si>
  <si>
    <t>1x125 ml HDPE</t>
  </si>
  <si>
    <t>0-6° C</t>
  </si>
  <si>
    <t>14 days</t>
  </si>
  <si>
    <t>should be analyzed in the field</t>
  </si>
  <si>
    <t>soil</t>
  </si>
  <si>
    <t>1x4 oz glass</t>
  </si>
  <si>
    <t>Acute Whole Effluent Toxicity (AWET)</t>
  </si>
  <si>
    <t>(depends on permit)</t>
  </si>
  <si>
    <t>1x2-8 gallon plastic (see permit)</t>
  </si>
  <si>
    <t>24 hrs</t>
  </si>
  <si>
    <t>(Ref Lab) need permit #/etc.</t>
  </si>
  <si>
    <t>SW 8015 modified</t>
  </si>
  <si>
    <t>liquid</t>
  </si>
  <si>
    <t>solid</t>
  </si>
  <si>
    <t>Alkalinity as CaCO3 (Total or Full)</t>
  </si>
  <si>
    <t>SM 2320B</t>
  </si>
  <si>
    <t>Ammonia</t>
  </si>
  <si>
    <t>SM 4500NH3-G</t>
  </si>
  <si>
    <t>50 ml</t>
  </si>
  <si>
    <t>1x250 ml HDPE</t>
  </si>
  <si>
    <t>H2SO4; 0-6° C</t>
  </si>
  <si>
    <t>28 days</t>
  </si>
  <si>
    <t>SM 4500-NH3-G modified</t>
  </si>
  <si>
    <t>1 grams</t>
  </si>
  <si>
    <t>4° C</t>
  </si>
  <si>
    <t>Anion/Cation Balance</t>
  </si>
  <si>
    <t>SM 1030E</t>
  </si>
  <si>
    <t>50 ml for metals
500 ml for others</t>
  </si>
  <si>
    <t>1x60 ml Nalgene for NO2+NO3
1x250 ml HDPE for metals
1x500 ml HDPE for other analyses</t>
  </si>
  <si>
    <t>H2SO4
HNO3
unpreserved</t>
  </si>
  <si>
    <t>ASAP</t>
  </si>
  <si>
    <t>field-filter for dissolved metals;
other container unpreserved
for alkalinity and anion analyses.</t>
  </si>
  <si>
    <t xml:space="preserve">Asbestos </t>
  </si>
  <si>
    <t>PCM or TEM</t>
  </si>
  <si>
    <t>air</t>
  </si>
  <si>
    <t>n/a</t>
  </si>
  <si>
    <t>cartridge</t>
  </si>
  <si>
    <t>none</t>
  </si>
  <si>
    <t>n/s</t>
  </si>
  <si>
    <t>(Ref Lab)</t>
  </si>
  <si>
    <t>PLM or TEM</t>
  </si>
  <si>
    <t>solids</t>
  </si>
  <si>
    <t>1 gram</t>
  </si>
  <si>
    <t>any</t>
  </si>
  <si>
    <t>TEM</t>
  </si>
  <si>
    <t>DW</t>
  </si>
  <si>
    <t>750 ml</t>
  </si>
  <si>
    <t>48 hrs</t>
  </si>
  <si>
    <t>Biochemical Oxygen Demand (BOD)</t>
  </si>
  <si>
    <t>SM 5210B</t>
  </si>
  <si>
    <t>depends on  matrix</t>
  </si>
  <si>
    <t>1x1 L HDPE (depending on matrix)</t>
  </si>
  <si>
    <t>Bromate</t>
  </si>
  <si>
    <t>EPA 300.1</t>
  </si>
  <si>
    <t>1.25 ml 5% EDA
0-6° C</t>
  </si>
  <si>
    <t>Bromide</t>
  </si>
  <si>
    <t>EPA 300.0/SW 9056A</t>
  </si>
  <si>
    <t>10 ml</t>
  </si>
  <si>
    <t>1x60 ml Nalgene</t>
  </si>
  <si>
    <t>Carbamates</t>
  </si>
  <si>
    <t>EPA 531.1</t>
  </si>
  <si>
    <t>100 ml</t>
  </si>
  <si>
    <t>3x40 ml amber VOA vials w/ septa</t>
  </si>
  <si>
    <t>Na2S2O3;
Monochloroacetic
Acid; 0-6° C</t>
  </si>
  <si>
    <t>7 days</t>
  </si>
  <si>
    <t>Chemical Oxygen Demand (COD)</t>
  </si>
  <si>
    <t>EPA 410.4</t>
  </si>
  <si>
    <t>10 ml (depends on matrix)</t>
  </si>
  <si>
    <t>Chlorate</t>
  </si>
  <si>
    <t>Chloride</t>
  </si>
  <si>
    <t>Chlorite</t>
  </si>
  <si>
    <t>SM 10200H</t>
  </si>
  <si>
    <t>500 ml</t>
  </si>
  <si>
    <t>1x1 L amber glass</t>
  </si>
  <si>
    <t>Chromium, Hexavalent</t>
  </si>
  <si>
    <t>SM 3500Cr or SW 7196</t>
  </si>
  <si>
    <t>30 ml</t>
  </si>
  <si>
    <t>Chronic Whole Effluent Toxicity (CWET)</t>
  </si>
  <si>
    <t>(Ref Lab) need permit specs</t>
  </si>
  <si>
    <t>Coliform, Fecal (MF)</t>
  </si>
  <si>
    <t>SM 9222D</t>
  </si>
  <si>
    <t>sterile 120 ml container
filled to 100 ml mark</t>
  </si>
  <si>
    <t>Na2S203; 0-6° C</t>
  </si>
  <si>
    <t>Coliform, Total (MF)</t>
  </si>
  <si>
    <t>SM 9222B</t>
  </si>
  <si>
    <t>30 hrs</t>
  </si>
  <si>
    <t>(Contact SGS PM to make
arrangements if hold time is
other than 30 hours.)</t>
  </si>
  <si>
    <t>SM 9223B</t>
  </si>
  <si>
    <t>Color, True or Apparent</t>
  </si>
  <si>
    <t>SM 2120B</t>
  </si>
  <si>
    <t>20 ml</t>
  </si>
  <si>
    <t>Conductivity</t>
  </si>
  <si>
    <t>SM 2510B</t>
  </si>
  <si>
    <t>EPA 1623</t>
  </si>
  <si>
    <t>(depends on protocol)</t>
  </si>
  <si>
    <t>Cyanide, Total</t>
  </si>
  <si>
    <t>SM 4500CN-C,E</t>
  </si>
  <si>
    <t>DW/W</t>
  </si>
  <si>
    <t>Cyanide, Weak Acid Dissociable</t>
  </si>
  <si>
    <t>SM 4500CN-I</t>
  </si>
  <si>
    <t>NaOH; 0-6° C</t>
  </si>
  <si>
    <t>Diesel Range Organics (DRO)</t>
  </si>
  <si>
    <t>AK102</t>
  </si>
  <si>
    <t>oil</t>
  </si>
  <si>
    <t>1x20 ml scintillation vial</t>
  </si>
  <si>
    <t>can combo with RRO</t>
  </si>
  <si>
    <t>AK102/8015C</t>
  </si>
  <si>
    <t>1x4 oz amber glass</t>
  </si>
  <si>
    <t>14/40 days (*)</t>
  </si>
  <si>
    <t>1 Liter</t>
  </si>
  <si>
    <t>2x1 L amber glass</t>
  </si>
  <si>
    <t>HCl; 0-6° C</t>
  </si>
  <si>
    <t>250 ml</t>
  </si>
  <si>
    <t>2x250 ml amber glass</t>
  </si>
  <si>
    <t>Dioxins</t>
  </si>
  <si>
    <t>EPA 1613</t>
  </si>
  <si>
    <t>SW 8280B or 8290A</t>
  </si>
  <si>
    <t>1x4 oz amber</t>
  </si>
  <si>
    <t>Diquat/Paraquat</t>
  </si>
  <si>
    <t>EPA 549.2</t>
  </si>
  <si>
    <t>1x1 Liter amber poly</t>
  </si>
  <si>
    <t>Dissolved Metals
(see Metals, Dissolved)</t>
  </si>
  <si>
    <t>Dissolved Organic Carbon (DOC)</t>
  </si>
  <si>
    <t>SM 5310B</t>
  </si>
  <si>
    <t>1x125 ml amber glass</t>
  </si>
  <si>
    <t>Dissolved Oxygen</t>
  </si>
  <si>
    <t>SM 4500O2-G</t>
  </si>
  <si>
    <t>BOD bottle w/ stopper</t>
  </si>
  <si>
    <t>15 minutes</t>
  </si>
  <si>
    <t>should be analyzed in the field;
allow no headspace</t>
  </si>
  <si>
    <t>Endothall</t>
  </si>
  <si>
    <t>EPA 548.1</t>
  </si>
  <si>
    <t>125 ml</t>
  </si>
  <si>
    <t xml:space="preserve">Explosives </t>
  </si>
  <si>
    <t>SW 8330A</t>
  </si>
  <si>
    <t>100 grams</t>
  </si>
  <si>
    <t>Gasoline Range Organics (GRO)</t>
  </si>
  <si>
    <t>AK101/8015C</t>
  </si>
  <si>
    <t>(can combo with BTEX)</t>
  </si>
  <si>
    <t>1x4 oz prewt'd amber
(2nd 4 oz unpreserve % solids jar
if no other analyses)</t>
  </si>
  <si>
    <t>MeOH+BFB;
0-6° C</t>
  </si>
  <si>
    <t>3x40 ml VOA vials</t>
  </si>
  <si>
    <t>Glyphosate</t>
  </si>
  <si>
    <t>EPA 547</t>
  </si>
  <si>
    <t>125 ml amber glass</t>
  </si>
  <si>
    <t>Gross Alpha &amp;/or Gross Beta</t>
  </si>
  <si>
    <t>EPA 900</t>
  </si>
  <si>
    <t>1x1 L HDPE</t>
  </si>
  <si>
    <t>Gross Heating Value</t>
  </si>
  <si>
    <t>ASTM D 240</t>
  </si>
  <si>
    <t>5 ml</t>
  </si>
  <si>
    <t>Haloacetic Acids Formation Potential</t>
  </si>
  <si>
    <t>SM 5710/6251B</t>
  </si>
  <si>
    <t>2x1 Liter</t>
  </si>
  <si>
    <t>ASAP/14 days</t>
  </si>
  <si>
    <t>Haloacetic Acids</t>
  </si>
  <si>
    <t>EPA 552.3</t>
  </si>
  <si>
    <t>NH4Cl; 0-6° C</t>
  </si>
  <si>
    <t>Hardness</t>
  </si>
  <si>
    <t>SM 2340B</t>
  </si>
  <si>
    <t>HNO3</t>
  </si>
  <si>
    <t>180 days</t>
  </si>
  <si>
    <t>Herbicides</t>
  </si>
  <si>
    <t>EPA 515.4</t>
  </si>
  <si>
    <t>2x125 ml amber glass</t>
  </si>
  <si>
    <t>Sodium Sulfite;
0-6° C</t>
  </si>
  <si>
    <t>EPA 555</t>
  </si>
  <si>
    <t>7/40 days (*)</t>
  </si>
  <si>
    <t>SW 8151A</t>
  </si>
  <si>
    <t>SM 9215B</t>
  </si>
  <si>
    <t>Heterotrophic Plate Count
(Pour Plate)</t>
  </si>
  <si>
    <t>Ignitability, Seta Flash</t>
  </si>
  <si>
    <t>Inorganic Contaminants, Primary</t>
  </si>
  <si>
    <t>50 ml for metals;
10 ml for cyanide;
20 ml for ions</t>
  </si>
  <si>
    <t>28/180 days;
14 days;
28 days;
28 days</t>
  </si>
  <si>
    <t>Karl Fisher Water Content</t>
  </si>
  <si>
    <t>Kjeldahl Nitrogen: see Total Kjeldahl N</t>
  </si>
  <si>
    <t>Langlier Index</t>
  </si>
  <si>
    <t>SM 2330B</t>
  </si>
  <si>
    <t>1x250 ml HDPE for metals
1x500 ml HDPE for other analyses</t>
  </si>
  <si>
    <t>HNO3 for metals;
0-6° C for others</t>
  </si>
  <si>
    <t>(req's pH, TDS,
Alkalinity &amp; Hardness)</t>
  </si>
  <si>
    <t>Lead in Paint</t>
  </si>
  <si>
    <t>6 months</t>
  </si>
  <si>
    <t>Lead/Copper Rule</t>
  </si>
  <si>
    <t>EPA 200.8</t>
  </si>
  <si>
    <t>MBAS: see Surfactants</t>
  </si>
  <si>
    <t>Mercury, Dissolved</t>
  </si>
  <si>
    <t>Mercury, Total</t>
  </si>
  <si>
    <t>none; 0-6° C</t>
  </si>
  <si>
    <t>Mercury, Trace by CVAF (Low Level)</t>
  </si>
  <si>
    <t>EPA 1631E</t>
  </si>
  <si>
    <t>1x500 ml FLPE, Teflon or amber glass</t>
  </si>
  <si>
    <t>HCl</t>
  </si>
  <si>
    <t>20 grams</t>
  </si>
  <si>
    <t>Metals, Wipes</t>
  </si>
  <si>
    <t>wipes</t>
  </si>
  <si>
    <t>* see notes *</t>
  </si>
  <si>
    <t>premoistened "Ghost Wipe"</t>
  </si>
  <si>
    <t>28/180 days</t>
  </si>
  <si>
    <t>Methane/Light Gases</t>
  </si>
  <si>
    <t>RSK 175</t>
  </si>
  <si>
    <t>Nitrate+Nitrite, Total</t>
  </si>
  <si>
    <t>SM 4500NO3-F</t>
  </si>
  <si>
    <t>Nitrate</t>
  </si>
  <si>
    <t>Nitrite</t>
  </si>
  <si>
    <t>EPA 1664A</t>
  </si>
  <si>
    <t>2x1L amber glass</t>
  </si>
  <si>
    <t>Oil Burn Specs (OBS)</t>
  </si>
  <si>
    <t>Ortho-Phosphate</t>
  </si>
  <si>
    <t>EPA 300.0</t>
  </si>
  <si>
    <t xml:space="preserve">10 ml </t>
  </si>
  <si>
    <t>EPA 625M-SIM;
SW 8270D-SIM</t>
  </si>
  <si>
    <t>PCB Wipes</t>
  </si>
  <si>
    <t>1 gauze wipe w/ 4 oz glass (septa lid)</t>
  </si>
  <si>
    <t>Hexane</t>
  </si>
  <si>
    <t>wipe 10x10 cm area</t>
  </si>
  <si>
    <t>PCBs</t>
  </si>
  <si>
    <t>EPA 508</t>
  </si>
  <si>
    <t>1 year (*)</t>
  </si>
  <si>
    <t>EPA 608</t>
  </si>
  <si>
    <t>PCBs in Transformer Oil</t>
  </si>
  <si>
    <t>Percent Solids (Moisture Content)</t>
  </si>
  <si>
    <t>SM 2540G (modified)</t>
  </si>
  <si>
    <t>Pesticides</t>
  </si>
  <si>
    <t>(Ref Lab; can combo with PCBs)</t>
  </si>
  <si>
    <t>SW 8270D-SIM</t>
  </si>
  <si>
    <t>pH</t>
  </si>
  <si>
    <t>SM 4500H-B</t>
  </si>
  <si>
    <t>should be field analyzed</t>
  </si>
  <si>
    <t>pH Corrosivity</t>
  </si>
  <si>
    <t>Phase V Inorganics</t>
  </si>
  <si>
    <t>EPA 200.8;
SM 4500CN-C,E</t>
  </si>
  <si>
    <t>1x250 ml HDPE for metals;
1x125 ml Nalgene for cyanide</t>
  </si>
  <si>
    <t>6 months;
14 days</t>
  </si>
  <si>
    <t>Phosphorus, Total</t>
  </si>
  <si>
    <t>SM4500P-B,E</t>
  </si>
  <si>
    <t>25 ml</t>
  </si>
  <si>
    <t>PIWA (Private Individual Water Analysis)</t>
  </si>
  <si>
    <t>Radium 226/228</t>
  </si>
  <si>
    <t>2.5 Liter</t>
  </si>
  <si>
    <t>3x1 L HDPE</t>
  </si>
  <si>
    <t>Radon in DW</t>
  </si>
  <si>
    <t>EPA 913 or SM 7500</t>
  </si>
  <si>
    <t>Residual Chlorine, Free</t>
  </si>
  <si>
    <t>SM 4500CL-F</t>
  </si>
  <si>
    <t>Residual Chlorine, Total</t>
  </si>
  <si>
    <t>SM 4500CL-G</t>
  </si>
  <si>
    <t>Residual Range Organics (RRO)</t>
  </si>
  <si>
    <t>AK103</t>
  </si>
  <si>
    <t>(can combo with DRO)</t>
  </si>
  <si>
    <t xml:space="preserve">AK103 </t>
  </si>
  <si>
    <t>Residue, Filterable (TDS)</t>
  </si>
  <si>
    <t>SM 2540C</t>
  </si>
  <si>
    <t>Residue, Non-Filterable (TSS)</t>
  </si>
  <si>
    <t>SM 2540D</t>
  </si>
  <si>
    <t>1000 ml</t>
  </si>
  <si>
    <t>1x1 L HDPE (entire volume required)</t>
  </si>
  <si>
    <t>requires 1 full Liter</t>
  </si>
  <si>
    <t>Residue, Settleable (SS or SM)</t>
  </si>
  <si>
    <t>SM 2540F</t>
  </si>
  <si>
    <t>Residue, Suspended Volatile (SVS)</t>
  </si>
  <si>
    <t>SM 2540E</t>
  </si>
  <si>
    <t>Residue, Total (TS)</t>
  </si>
  <si>
    <t>SM 2540B</t>
  </si>
  <si>
    <t>Residue, Total Volatile (TVS)</t>
  </si>
  <si>
    <t>Resistivity</t>
  </si>
  <si>
    <t>Salinity by Chloride</t>
  </si>
  <si>
    <t>Secondary Inorganic Contaminants</t>
  </si>
  <si>
    <t>HNO3 for metals;
none for others;
0-6° C</t>
  </si>
  <si>
    <t>Semivolatile Organic Cmpds (SVOC)</t>
  </si>
  <si>
    <t>EPA 525.2</t>
  </si>
  <si>
    <t>Sodium Sulfite;
HCl; 0-6° C</t>
  </si>
  <si>
    <t>(Ref Lab * verify cmpd list *)</t>
  </si>
  <si>
    <t>SW 8270D</t>
  </si>
  <si>
    <t>Settleable Matter (SS or SM):
see Residue, Settleable</t>
  </si>
  <si>
    <t>Solids, Volatile (VS):
see Residue, Volatile</t>
  </si>
  <si>
    <t>Specific Gravity</t>
  </si>
  <si>
    <t>Lab SOP</t>
  </si>
  <si>
    <t>SPLP … (see TCLP methods)</t>
  </si>
  <si>
    <t>SW 1312…</t>
  </si>
  <si>
    <t>Sulfate</t>
  </si>
  <si>
    <t>Sulfide, Total</t>
  </si>
  <si>
    <t>SM 4500S-D</t>
  </si>
  <si>
    <t>1x125 mL HDPE</t>
  </si>
  <si>
    <t>NaOH+ZnAc;
0-6° C</t>
  </si>
  <si>
    <t>Sulfite</t>
  </si>
  <si>
    <t>EPA 377.1</t>
  </si>
  <si>
    <t>1x500 ml HDPE</t>
  </si>
  <si>
    <t>5ml  2.5% EDTA</t>
  </si>
  <si>
    <t>Surfactants (MBAS)</t>
  </si>
  <si>
    <t>SM  5540C</t>
  </si>
  <si>
    <t>Suspended Solids (SS or SM):
see Residue, Settleable</t>
  </si>
  <si>
    <t>TCLP Herbicides</t>
  </si>
  <si>
    <t>SW 1311/8151A</t>
  </si>
  <si>
    <t>1x8 oz amber glass</t>
  </si>
  <si>
    <t>TCLP Metals</t>
  </si>
  <si>
    <t>SW 1311/6000/7000</t>
  </si>
  <si>
    <t>1x500 mL or 1Liter HDPE</t>
  </si>
  <si>
    <t>TCLP Pesticides</t>
  </si>
  <si>
    <t>SW 1311/8270D-SIM</t>
  </si>
  <si>
    <t>TCLP Semivolatiles</t>
  </si>
  <si>
    <t>SW 1311/8270D</t>
  </si>
  <si>
    <t>TCLP Volatiles</t>
  </si>
  <si>
    <t>3x40 ml amber VOA vial w/ septa</t>
  </si>
  <si>
    <t>Thiocyanate</t>
  </si>
  <si>
    <t>SM4500CN-M</t>
  </si>
  <si>
    <t>HNO3; 0-6° C</t>
  </si>
  <si>
    <t>Total Dissolved Solids (TDS):
see Residue, Filterable</t>
  </si>
  <si>
    <t>Total Halogens</t>
  </si>
  <si>
    <t>5 grams</t>
  </si>
  <si>
    <t>Total Kjeldahl Nitrogen (TKN)</t>
  </si>
  <si>
    <t>EPA 4500N-D</t>
  </si>
  <si>
    <t>Total Nitrogen
(see: NO2/NO3, TKN and Ammonia)</t>
  </si>
  <si>
    <t>Total Organic Carbon (TOC)</t>
  </si>
  <si>
    <t>SM 5310B/SW 9060A</t>
  </si>
  <si>
    <t>TOC-SGS  SOP</t>
  </si>
  <si>
    <t>Total Organic Halides (TOX)</t>
  </si>
  <si>
    <t>SW 9020</t>
  </si>
  <si>
    <t>2x40 ml VOA or larger bottle</t>
  </si>
  <si>
    <t>Total Solids: see Residue, Total</t>
  </si>
  <si>
    <t>Total Suspended Solids:
see Residue, Non-Filterable</t>
  </si>
  <si>
    <t>TPH by 8015B:  See GRO or DRO</t>
  </si>
  <si>
    <t>Trihalomethane Formation Potential</t>
  </si>
  <si>
    <t>SM 5710/EPA 551.1</t>
  </si>
  <si>
    <t>Trihalomethanes (TTHM)</t>
  </si>
  <si>
    <t>EPA 524.2</t>
  </si>
  <si>
    <t>allow no headspace</t>
  </si>
  <si>
    <t>Turbidity</t>
  </si>
  <si>
    <t>SM 2130B</t>
  </si>
  <si>
    <t>Uranium, Total</t>
  </si>
  <si>
    <t>VOC: Volatile Organic Compounds</t>
  </si>
  <si>
    <t>(Ascorbic Acid
if chlorinated)
HCl; 0-6° C</t>
  </si>
  <si>
    <t>EPA 624</t>
  </si>
  <si>
    <t>1x20 vial or 1x40 ml VOA w/ septa</t>
  </si>
  <si>
    <t>* - Methods requiring semivolatile extraction by SW 3520/3550 have a hold time for extraction followed by a hold time for analysis of the extract.</t>
  </si>
  <si>
    <t>40 CFR 279.11
(PCBs, As, Cd, Cr, Pb, Total Halogens &amp; Ignitablity)</t>
  </si>
  <si>
    <t>Ascorbic Acid/
HCl; 0-6° C</t>
  </si>
  <si>
    <t>SM4500P-E</t>
  </si>
  <si>
    <t>SM 9223B, 2320B,
2510B, 2540C, 
4500-H B, 
EPA 200.8, 300.0</t>
  </si>
  <si>
    <t>Client pickup Date:</t>
  </si>
  <si>
    <t>Time:</t>
  </si>
  <si>
    <t>Deliver to client:</t>
  </si>
  <si>
    <t>Client Name:</t>
  </si>
  <si>
    <t>Airbill Number:</t>
  </si>
  <si>
    <t>Ordered By:</t>
  </si>
  <si>
    <t>Date to ship by:</t>
  </si>
  <si>
    <t>Notes:</t>
  </si>
  <si>
    <t>Project Name:</t>
  </si>
  <si>
    <t>Quote #:</t>
  </si>
  <si>
    <t>Kit request taken by:</t>
  </si>
  <si>
    <t>Date:</t>
  </si>
  <si>
    <t>Kit prepared by:</t>
  </si>
  <si>
    <t>H2SO4</t>
  </si>
  <si>
    <t>HDPE</t>
  </si>
  <si>
    <t>NaOH</t>
  </si>
  <si>
    <t>NaOH+ZnAc</t>
  </si>
  <si>
    <t>Na2S2O3</t>
  </si>
  <si>
    <t>None</t>
  </si>
  <si>
    <t>No.</t>
  </si>
  <si>
    <t>Analysis</t>
  </si>
  <si>
    <t>Container Size &amp; Type</t>
  </si>
  <si>
    <t>Pres.</t>
  </si>
  <si>
    <t>Hold</t>
  </si>
  <si>
    <t># QC</t>
  </si>
  <si>
    <t>Total</t>
  </si>
  <si>
    <t>1 year</t>
  </si>
  <si>
    <t>Samples</t>
  </si>
  <si>
    <t>Bottle Lot #</t>
  </si>
  <si>
    <t>Lot #</t>
  </si>
  <si>
    <t>Bottles</t>
  </si>
  <si>
    <t>Attention Client/Sampler:</t>
  </si>
  <si>
    <t>for Mining</t>
  </si>
  <si>
    <t>for Landfill Monitoring</t>
  </si>
  <si>
    <t>for UST sampling</t>
  </si>
  <si>
    <t>for TCLP sampling</t>
  </si>
  <si>
    <t xml:space="preserve"> Relinquished By: (1)</t>
  </si>
  <si>
    <t>Unpres</t>
  </si>
  <si>
    <t>Ammonia 4500NH3-B,F
TKN SM4500N-D</t>
  </si>
  <si>
    <t>CN SM4500CN-C,E
WAD CN SM4500CN-I</t>
  </si>
  <si>
    <t>Cl, F, SO4, Br 
EPA300.0</t>
  </si>
  <si>
    <r>
      <t xml:space="preserve">Metals - 200.8  </t>
    </r>
    <r>
      <rPr>
        <b/>
        <sz val="8"/>
        <color indexed="53"/>
        <rFont val="Arial"/>
        <family val="2"/>
      </rPr>
      <t>Please specify in remarks</t>
    </r>
  </si>
  <si>
    <t>Nitrate Nitrite 
SM4500NO3-F</t>
  </si>
  <si>
    <t>Alkalinity/pH/Cond
2320B/4500H-B/25010A</t>
  </si>
  <si>
    <t>VOC SW8260B</t>
  </si>
  <si>
    <t>BOD SM5210B</t>
  </si>
  <si>
    <t>Ammonia/COD/TKN
4500NH3/410.4/4500N</t>
  </si>
  <si>
    <t>pH/Alkalinity
Chloride &amp; Turbidity</t>
  </si>
  <si>
    <t>TOC SM5310B</t>
  </si>
  <si>
    <t>CN SM4500CN-C,E</t>
  </si>
  <si>
    <t>GRO  AK101</t>
  </si>
  <si>
    <t>DRO AK102</t>
  </si>
  <si>
    <t>RRO  AK103</t>
  </si>
  <si>
    <r>
      <t xml:space="preserve">BTEX - </t>
    </r>
    <r>
      <rPr>
        <b/>
        <sz val="8"/>
        <color indexed="53"/>
        <rFont val="Arial"/>
        <family val="2"/>
      </rPr>
      <t>Select one:</t>
    </r>
    <r>
      <rPr>
        <b/>
        <sz val="8"/>
        <rFont val="Arial"/>
        <family val="2"/>
      </rPr>
      <t xml:space="preserve">
8021 or 8260</t>
    </r>
  </si>
  <si>
    <t>PAH by 8270D-SIM</t>
  </si>
  <si>
    <t>UST Metals SW6020
 As, Cd, Pb, Cr</t>
  </si>
  <si>
    <t>TCLP VOC  
1311/8260B</t>
  </si>
  <si>
    <t>TCLP SVOC
1311/8270D</t>
  </si>
  <si>
    <t>TCLP Pesticides
1311/8270D-SIM</t>
  </si>
  <si>
    <t>TCLP Metal  
1311/6020/7470</t>
  </si>
  <si>
    <t>pH corrosivity 
9040/9045</t>
  </si>
  <si>
    <t>If you have any questions or concerns, please</t>
  </si>
  <si>
    <t>do not hesitate to contact your SGS Project Manager.</t>
  </si>
  <si>
    <t>Thank you.</t>
  </si>
  <si>
    <t>Metals, Dissolved (other than Hex.Cr)</t>
  </si>
  <si>
    <t>Metals, Total (other than Hex.Cr)</t>
  </si>
  <si>
    <t>EPA 200.8 and 300.0,
SM 4500CN-C,E, 
4500NO3-F</t>
  </si>
  <si>
    <t>Odor</t>
  </si>
  <si>
    <t>1x1L amber glass</t>
  </si>
  <si>
    <t>200 W. Potter Dr., Anchorage, AK 99518  (ph) 907-562-2343, (fax) 907-561-5301</t>
  </si>
  <si>
    <t>Phone #:</t>
  </si>
  <si>
    <t>Phase II Inorganics</t>
  </si>
  <si>
    <t>EPA 200.8;
EPA 300.0</t>
  </si>
  <si>
    <t>HNO3 for metals,
unpreserved for fluoride; 0-6° C</t>
  </si>
  <si>
    <t>6 months;
28 days</t>
  </si>
  <si>
    <t>1x125ml HDPE</t>
  </si>
  <si>
    <t>8 hrs</t>
  </si>
  <si>
    <t>Enterococci</t>
  </si>
  <si>
    <t>Enterolert</t>
  </si>
  <si>
    <t>6 x 40-mL</t>
  </si>
  <si>
    <t>3 x 40-mL</t>
  </si>
  <si>
    <t>2 x 1-L</t>
  </si>
  <si>
    <t>1 x 60-mL</t>
  </si>
  <si>
    <t>1 x 8-oz</t>
  </si>
  <si>
    <t>1 x 4-oz prewt'd</t>
  </si>
  <si>
    <t>1 x 4-oz</t>
  </si>
  <si>
    <t>1 x 250-mL</t>
  </si>
  <si>
    <t>1 x 125-mL</t>
  </si>
  <si>
    <t>72 hours</t>
  </si>
  <si>
    <t>8 hours</t>
  </si>
  <si>
    <t>24 hours</t>
  </si>
  <si>
    <t>90 days</t>
  </si>
  <si>
    <t>1x250 mL amber glass</t>
  </si>
  <si>
    <t>(Sodium Arsenite
if chlorinated)
NaOH; 0-6° C</t>
  </si>
  <si>
    <t>SM 2150B</t>
  </si>
  <si>
    <t>30 hrs for coli</t>
  </si>
  <si>
    <t>Solids, Total (TS): see Residue, Total</t>
  </si>
  <si>
    <t>Relinquished By: (1)</t>
  </si>
  <si>
    <t>Requested Turnaround Time and/or Special Instructions:</t>
  </si>
  <si>
    <t>Nitrate + Nitrite 
SM4500NO3-F</t>
  </si>
  <si>
    <t>Low Level Mercury
EPA1631</t>
  </si>
  <si>
    <r>
      <t xml:space="preserve">Mercury: </t>
    </r>
    <r>
      <rPr>
        <b/>
        <sz val="8"/>
        <color indexed="53"/>
        <rFont val="Arial"/>
        <family val="2"/>
      </rPr>
      <t>Please select-</t>
    </r>
    <r>
      <rPr>
        <b/>
        <sz val="8"/>
        <rFont val="Arial"/>
        <family val="2"/>
      </rPr>
      <t xml:space="preserve">
EPA 245.1 or EPA 200.8</t>
    </r>
  </si>
  <si>
    <t>http://www.sgs.com/terms-and-conditions</t>
  </si>
  <si>
    <t>Section 5</t>
  </si>
  <si>
    <t>Section 1</t>
  </si>
  <si>
    <t>Section 2</t>
  </si>
  <si>
    <t>Section 3</t>
  </si>
  <si>
    <t>Type</t>
  </si>
  <si>
    <t>Section 4</t>
  </si>
  <si>
    <t>Cooler ID:  ______________________</t>
  </si>
  <si>
    <t>Instructions:  Sections 1 -  5 must be filled out.
Omissions may delay the onset of analysis.</t>
  </si>
  <si>
    <t>DOD Project?   Yes   No</t>
  </si>
  <si>
    <t>Preservatives</t>
  </si>
  <si>
    <t>Instructions:  Sections 1 - 5 must be filled out.
Omissions may delay the onset of analysis.</t>
  </si>
  <si>
    <t>Ship by/Air Carrier:</t>
  </si>
  <si>
    <t>Be sure to ask if client will ship by ground (DOT) or air carrier (IATA)</t>
  </si>
  <si>
    <t>Fluoride</t>
  </si>
  <si>
    <t>Corrosivity (see pH)</t>
  </si>
  <si>
    <t xml:space="preserve">80 ml </t>
  </si>
  <si>
    <t>1 x 1-L</t>
  </si>
  <si>
    <t>VOA vials</t>
  </si>
  <si>
    <t>48 hours</t>
  </si>
  <si>
    <t>PAH</t>
  </si>
  <si>
    <t>80 ml</t>
  </si>
  <si>
    <t>SW 9040C</t>
  </si>
  <si>
    <t>SW 9045D</t>
  </si>
  <si>
    <t>SW 1020B</t>
  </si>
  <si>
    <t>SW 6020A/7470A/7471B</t>
  </si>
  <si>
    <t>SW 6020A</t>
  </si>
  <si>
    <t>ASTM D 2622</t>
  </si>
  <si>
    <t>HT extended if frozen</t>
  </si>
  <si>
    <t>SW 5050/9056A</t>
  </si>
  <si>
    <t>50 ml for metals
250 ml for others</t>
  </si>
  <si>
    <t>freeze filter ASAP</t>
  </si>
  <si>
    <t>2 ml</t>
  </si>
  <si>
    <t>ASTM D 1744</t>
  </si>
  <si>
    <t>60 ml</t>
  </si>
  <si>
    <t>SW 8082A</t>
  </si>
  <si>
    <t>(Ref Lab; can combo with Pest)</t>
  </si>
  <si>
    <t>CAN (Total Coliform, Arsenic, Nitrate)</t>
  </si>
  <si>
    <t>SM 9223B, EPA 200.8, 
SM 4500NO3</t>
  </si>
  <si>
    <t>25 ml for metals;
2 ml for cyanide</t>
  </si>
  <si>
    <t>25 ml for metals;
10 ml for anions</t>
  </si>
  <si>
    <t>100 ml for coli
20 ml for anions
25 ml for metals
200 ml for others</t>
  </si>
  <si>
    <t>100+100 grams</t>
  </si>
  <si>
    <t>1x120 ml amber glass</t>
  </si>
  <si>
    <t>1x60 ml amber glass</t>
  </si>
  <si>
    <t>22+12 grams</t>
  </si>
  <si>
    <t>12 grams</t>
  </si>
  <si>
    <t>1+12 grams</t>
  </si>
  <si>
    <t>25+100 grams</t>
  </si>
  <si>
    <t>200+100 ml</t>
  </si>
  <si>
    <t>100+100 ml</t>
  </si>
  <si>
    <t>10+12 grams</t>
  </si>
  <si>
    <t>30+12 grams</t>
  </si>
  <si>
    <t>30 hrs for Pool/Spa
8 hrs for Drinking
&amp; Reagent Water</t>
  </si>
  <si>
    <t>UV 254</t>
  </si>
  <si>
    <t>SM 5910B</t>
  </si>
  <si>
    <t>28 days for AK101
(14 days for BTEX)</t>
  </si>
  <si>
    <t>(Ref Lab) allow no headspace</t>
  </si>
  <si>
    <t>TAH</t>
  </si>
  <si>
    <t>EPA 602 by 624/SW 8260B</t>
  </si>
  <si>
    <t>TAqH</t>
  </si>
  <si>
    <t>Sulfolane</t>
  </si>
  <si>
    <t>EPA 1625/SW8270D</t>
  </si>
  <si>
    <t>30+12 grams; key elements
req MS/MSD or DUP</t>
  </si>
  <si>
    <t>The Bottle Guide is found on the last tab of this document.</t>
  </si>
  <si>
    <t>Alcohols:  see Glycols or Alcohols</t>
  </si>
  <si>
    <t>Glycols or Alcohols</t>
  </si>
  <si>
    <t>(Ref Lab) specify each compound</t>
  </si>
  <si>
    <t>Phenols</t>
  </si>
  <si>
    <t>EPA 420.1 or SW9065</t>
  </si>
  <si>
    <t>1 x 500 ml HDPE</t>
  </si>
  <si>
    <t>50 grams + separate
unpreserved bottle for 
% solids determination</t>
  </si>
  <si>
    <t>(Ref Lab) TB required
allow no headspace</t>
  </si>
  <si>
    <t>NW-EPH</t>
  </si>
  <si>
    <t>EPH</t>
  </si>
  <si>
    <t>VPH</t>
  </si>
  <si>
    <t>NW-VPH</t>
  </si>
  <si>
    <t>(Ref Lab)  TB required;
field-preservation required;
use 50 g soil &amp; 25 ml MeOH</t>
  </si>
  <si>
    <t>(Ref Lab) TB required;
allow no headspace</t>
  </si>
  <si>
    <t>allow no headspace; TB required</t>
  </si>
  <si>
    <t>field-preservation required;
use 50 g soil &amp; 25 ml MeOH
(can combo with BTEX)
TB required</t>
  </si>
  <si>
    <t>(can combo with BTEX)
allow no headspace; TB required</t>
  </si>
  <si>
    <t>Sulfur, Total</t>
  </si>
  <si>
    <t>100 ml for coli
25 ml for metals
10 ml for ions</t>
  </si>
  <si>
    <t>sterile 120 ml container for coli
1x120 mL Nalgene for metals
60 ml Nalgene for NO2+NO3</t>
  </si>
  <si>
    <t>48 hrs or ozonate</t>
  </si>
  <si>
    <t>(Ref Lab) leave 20% headspace</t>
  </si>
  <si>
    <t>1x250 ml HDPE for metals;
1x120 ml Nalgene for cyanide;
1x60 ml Nalgene for NO2+NO3;
1x60 ml Nalgene for anions</t>
  </si>
  <si>
    <t>SW 7196</t>
  </si>
  <si>
    <t>Chlorophyll a</t>
  </si>
  <si>
    <t>21 days</t>
  </si>
  <si>
    <t>(Ref Lab) use 4.25 cm GF-B filter;
field-filter &amp; freeze</t>
  </si>
  <si>
    <t>Mercury, Methyl-</t>
  </si>
  <si>
    <t>EPA 1630</t>
  </si>
  <si>
    <t>1x250 ml Teflon (special order)</t>
  </si>
  <si>
    <t>TB recommended</t>
  </si>
  <si>
    <t>EPA 504.1</t>
  </si>
  <si>
    <t>Kit packed &amp; shipped by:</t>
  </si>
  <si>
    <t>2x500 ml amber (special order)</t>
  </si>
  <si>
    <t>125 ml HDPE (special order)</t>
  </si>
  <si>
    <t>1x125 ml HDPE (special order)</t>
  </si>
  <si>
    <t>1x1 L amber glass (special order filters)</t>
  </si>
  <si>
    <t>3x40 ml amber VOA vials w/ septa
 (special order)</t>
  </si>
  <si>
    <t>Crpytosporidia</t>
  </si>
  <si>
    <t>Giardia</t>
  </si>
  <si>
    <t>(Ref Lab)  (can combo with Crypto)</t>
  </si>
  <si>
    <t>1x10 L cubitainer</t>
  </si>
  <si>
    <t>(Ref Lab)  (can combo with Giardia)</t>
  </si>
  <si>
    <t>Tannin/Lignin</t>
  </si>
  <si>
    <t>HACH</t>
  </si>
  <si>
    <t>6 ml</t>
  </si>
  <si>
    <t>EPA 903.1/904</t>
  </si>
  <si>
    <t>EPA 900
EPA 903.1/904
EPA 200.8</t>
  </si>
  <si>
    <t>8x1 Liter HDPE</t>
  </si>
  <si>
    <t>8x1 L HDPE 
(Note:  Collect 2x1-L each quarter,
then composite at the end of the year.)</t>
  </si>
  <si>
    <t>3x40 ml amber VOA with septa</t>
  </si>
  <si>
    <t>1x40 ml amber VOA vial</t>
  </si>
  <si>
    <t>72 hrs</t>
  </si>
  <si>
    <t xml:space="preserve">250 ml </t>
  </si>
  <si>
    <t>1x250 ml amber glass</t>
  </si>
  <si>
    <t>1x250 ml</t>
  </si>
  <si>
    <t>Ascorbic Acid + HCl</t>
  </si>
  <si>
    <t>BTEX</t>
  </si>
  <si>
    <t>field-preservation required;
use 50 g soil &amp; 25 ml MeOH
(can combo with GRO)
TB required</t>
  </si>
  <si>
    <t>(can combo with GRO)
allow no headspace; TB required</t>
  </si>
  <si>
    <t xml:space="preserve">     There is a blank COC template, as well as one</t>
  </si>
  <si>
    <t xml:space="preserve">     customized for public water systems.</t>
  </si>
  <si>
    <t>Choose the Chain of Custody (COC) that best fits your needs</t>
  </si>
  <si>
    <t xml:space="preserve">     Be sure to indicate your project name/number.</t>
  </si>
  <si>
    <t xml:space="preserve">     If there is a PWSID, please include that.</t>
  </si>
  <si>
    <t xml:space="preserve">     If you received a quote for this project,</t>
  </si>
  <si>
    <t xml:space="preserve">     or have a PO#, please be sure to note that.</t>
  </si>
  <si>
    <t xml:space="preserve">     Be sure to "X" the box under each test requested for each sample.</t>
  </si>
  <si>
    <t>28 days for Hg
180 days for metals</t>
  </si>
  <si>
    <t>Prepaid Kit Request/COC</t>
  </si>
  <si>
    <t xml:space="preserve">Instructions: </t>
  </si>
  <si>
    <t>WO#</t>
  </si>
  <si>
    <t>1. PM/Front Counter Staff to initiate form</t>
  </si>
  <si>
    <t>2. Make the kit (verify prepaid p/w and bottles)</t>
  </si>
  <si>
    <t>3. Scan form as kit request</t>
  </si>
  <si>
    <t>4. Give form to Login Staff to bill for bottles in LIMS</t>
  </si>
  <si>
    <t>Address:</t>
  </si>
  <si>
    <r>
      <t>Kit</t>
    </r>
    <r>
      <rPr>
        <b/>
        <sz val="12"/>
        <rFont val="Times New Roman"/>
        <family val="1"/>
      </rPr>
      <t xml:space="preserve"> checked by:</t>
    </r>
  </si>
  <si>
    <t xml:space="preserve">e-mail: </t>
  </si>
  <si>
    <t>Prepaid Purchase</t>
  </si>
  <si>
    <t>Prepaid Containers</t>
  </si>
  <si>
    <t>Analysis:</t>
  </si>
  <si>
    <t>Number requested</t>
  </si>
  <si>
    <t>Coliform (Minimum 4 buy 10 get 2 free):</t>
  </si>
  <si>
    <t>Other (list):</t>
  </si>
  <si>
    <t>Payment by (circle):     credit card        check         cash      PO#</t>
  </si>
  <si>
    <t>Amount received : $</t>
  </si>
  <si>
    <t>Delivery (circle):       picked up         ship to Address (above)</t>
  </si>
  <si>
    <t>Note:</t>
  </si>
  <si>
    <t>Nitrate (H2SO4 60ml):</t>
  </si>
  <si>
    <t>CAN Kits              (Coli, As, NO3):</t>
  </si>
  <si>
    <t xml:space="preserve">If shipping choose type (circle):  Airline (note below)   UPS   USPS </t>
  </si>
  <si>
    <t>1x125ml amber HDPE</t>
  </si>
  <si>
    <t>14/14 days</t>
  </si>
  <si>
    <t>14/7/40 days</t>
  </si>
  <si>
    <t>amber glass</t>
  </si>
  <si>
    <t>amber HDPE</t>
  </si>
  <si>
    <t>amber w/ septa</t>
  </si>
  <si>
    <t>Date due:</t>
  </si>
  <si>
    <t>2 x 250-ml</t>
  </si>
  <si>
    <t>Na2S203; chill
recommended</t>
  </si>
  <si>
    <t>Na2S2O3 for coli;
HNO3 for metals;
H2SO4 for NOx;
chill recommended</t>
  </si>
  <si>
    <t>HNO3 for metals;
NaOH for CN;
H2SO4 for NOx;
none for F; 0-6° C</t>
  </si>
  <si>
    <t>H2SO4; chill
recommended</t>
  </si>
  <si>
    <t>MeOH+BFB;
chill recommended</t>
  </si>
  <si>
    <t>HNO3 (preserved at lab)</t>
  </si>
  <si>
    <t>(Ref Lab)
allow no headspace</t>
  </si>
  <si>
    <t>125-mL sterile</t>
  </si>
  <si>
    <t>PHONE #:</t>
  </si>
  <si>
    <t>MI</t>
  </si>
  <si>
    <t>Comp</t>
  </si>
  <si>
    <t>Grab</t>
  </si>
  <si>
    <t>(Multi-
incre-
mental)</t>
  </si>
  <si>
    <t>Email:</t>
  </si>
  <si>
    <t>MeOH+BFB</t>
  </si>
  <si>
    <t>drinking water</t>
  </si>
  <si>
    <t>Nalgene</t>
  </si>
  <si>
    <t>1 x 500-ml</t>
  </si>
  <si>
    <t>Teflon/FLPE</t>
  </si>
  <si>
    <t>Verify paperwork is green and says "Pre-Paid":</t>
  </si>
  <si>
    <t>Verify bottle has stickered "Pre-Paid" sticker:</t>
  </si>
  <si>
    <t>1,4-Dioxane</t>
  </si>
  <si>
    <t>SW 8270</t>
  </si>
  <si>
    <t>Oil &amp; Grease, HEM</t>
  </si>
  <si>
    <t>Total Petroleum Hydrocarbons, HEM-SG</t>
  </si>
  <si>
    <t>Na2S2O3 for coli;
HNO3 for metals;
H2SO4 for NOx;
2-6°C</t>
  </si>
  <si>
    <t>Na2S2O3;
Monochloroacetic
Acid; 2-6° C</t>
  </si>
  <si>
    <t>SM 9223B, EPA 200.8, 
SM 4500NO4</t>
  </si>
  <si>
    <t>101 ml for coli
25 ml for metals
10 ml for ions</t>
  </si>
  <si>
    <t>sterile 120 ml container for coli
1x120 mL Nalgene for metals
60 ml Nalgene for NO2+NO4</t>
  </si>
  <si>
    <t>DW with PWSID</t>
  </si>
  <si>
    <t>(Sodium Arsenite
if chlorinated)
NaOH; 2-6° C</t>
  </si>
  <si>
    <t>Na2S203; 2-6° C</t>
  </si>
  <si>
    <t>2-6° C</t>
  </si>
  <si>
    <t>DW/W with PWSID</t>
  </si>
  <si>
    <t>NH4Cl; 2-6° C</t>
  </si>
  <si>
    <t>Sodium Sulfite;
2-6° C</t>
  </si>
  <si>
    <t>HNO3 for metals;
NaOH for CN;
H2SO4 for NOx;
none for F; 2-6° C</t>
  </si>
  <si>
    <t>HNO3 for metals;
2-6° C for others</t>
  </si>
  <si>
    <t>Sodium Sulfite;
HCl; 2-6° C</t>
  </si>
  <si>
    <t>HNO3 for metals,
unpreserved for fluoride; 2-6° C</t>
  </si>
  <si>
    <t>HNO3 for metals;
none for others;
2-6° C</t>
  </si>
  <si>
    <t>Ascorbic Acid/
HCl; 2-6° C</t>
  </si>
  <si>
    <t>(Ascorbic Acid
if chlorinated)
HCl; 2-6° C</t>
  </si>
  <si>
    <r>
      <t xml:space="preserve">       Bill to approved account (PM approval required ________ </t>
    </r>
    <r>
      <rPr>
        <sz val="12"/>
        <color theme="1"/>
        <rFont val="Times New Roman"/>
        <family val="1"/>
      </rPr>
      <t>initials</t>
    </r>
    <r>
      <rPr>
        <b/>
        <sz val="12"/>
        <color theme="1"/>
        <rFont val="Times New Roman"/>
        <family val="1"/>
      </rPr>
      <t xml:space="preserve">) </t>
    </r>
  </si>
  <si>
    <t>Filename:</t>
  </si>
  <si>
    <t>*Required Items</t>
  </si>
  <si>
    <t>REMARKS/LOC ID</t>
  </si>
  <si>
    <t>Delivery Method: Hand Delivery[  ] Commerical Delivery [  ]</t>
  </si>
  <si>
    <t>Florida</t>
  </si>
  <si>
    <t>Delivery Address:</t>
  </si>
  <si>
    <t>HCl for DW</t>
  </si>
  <si>
    <t xml:space="preserve">3180 Peger Rd. Ste. 190, Fairbanks, AK 99709 (ph) 907-474-8656 </t>
  </si>
  <si>
    <t>Profile #:</t>
  </si>
  <si>
    <t>Coliform, Total (P/A or Quantitray)</t>
  </si>
  <si>
    <t>E. coli (LT2 Quantitray)</t>
  </si>
  <si>
    <t>Na2SO3; chill recommended</t>
  </si>
  <si>
    <t>DW, DW with PWSID</t>
  </si>
  <si>
    <t>DW, DW with PWSID, water</t>
  </si>
  <si>
    <t>(Ref Lab) for quantification of Total coliform colonies, use method 9223B Quantitray</t>
  </si>
  <si>
    <t>Na2S203; 0-8° C</t>
  </si>
  <si>
    <t>EDB/DBCP/1,2,3-TCP</t>
  </si>
  <si>
    <t>SW 8011</t>
  </si>
  <si>
    <t>TB required, allow no headspace</t>
  </si>
  <si>
    <t>1x1 L HDPE (No substitution)</t>
  </si>
  <si>
    <t xml:space="preserve">TB required </t>
  </si>
  <si>
    <t>PAH Trace</t>
  </si>
  <si>
    <t>250 mL</t>
  </si>
  <si>
    <t>TAqH Trace</t>
  </si>
  <si>
    <t>Na2S203; &lt;10˚ C</t>
  </si>
  <si>
    <t>Holding Time  *</t>
  </si>
  <si>
    <t>15 minutes (ASAP)</t>
  </si>
  <si>
    <t>ASAP/7 days</t>
  </si>
  <si>
    <r>
      <t xml:space="preserve">Kit </t>
    </r>
    <r>
      <rPr>
        <b/>
        <i/>
        <sz val="12"/>
        <rFont val="Arial"/>
        <family val="2"/>
      </rPr>
      <t>(including lid tightness for pres'd bottles)</t>
    </r>
    <r>
      <rPr>
        <b/>
        <sz val="12"/>
        <rFont val="Arial"/>
        <family val="2"/>
      </rPr>
      <t xml:space="preserve"> checked by:</t>
    </r>
  </si>
  <si>
    <r>
      <t xml:space="preserve">Does a Profile exist in LIMS?    </t>
    </r>
    <r>
      <rPr>
        <b/>
        <sz val="11"/>
        <rFont val="Arial"/>
        <family val="2"/>
      </rPr>
      <t xml:space="preserve"> If not, please send a request for new profile build.</t>
    </r>
  </si>
  <si>
    <t>(Ref Lab) Clean aqueous matrix only</t>
  </si>
  <si>
    <t>1 x 250 ml narrow mouth amber glass</t>
  </si>
  <si>
    <t>PWSID sampling for submittal to ADEC</t>
  </si>
  <si>
    <t>PROJECT/
PERMIT#:</t>
  </si>
  <si>
    <t>PWSID#</t>
  </si>
  <si>
    <t xml:space="preserve">FAC ID # </t>
  </si>
  <si>
    <t>Sample Pt. ID</t>
  </si>
  <si>
    <t>1x500 mL amber glass</t>
  </si>
  <si>
    <t>Date of Collection</t>
  </si>
  <si>
    <t>Time of Collection</t>
  </si>
  <si>
    <t>Sample Location</t>
  </si>
  <si>
    <t>Airbill #</t>
  </si>
  <si>
    <t>q</t>
  </si>
  <si>
    <t>If yes, have you notified the Project Manager?</t>
  </si>
  <si>
    <t>Are there any problems?</t>
  </si>
  <si>
    <t>Other</t>
  </si>
  <si>
    <t>NAC</t>
  </si>
  <si>
    <t>microbiological analyses), was pH verified and compliant?</t>
  </si>
  <si>
    <t>PenAir</t>
  </si>
  <si>
    <t>ERA</t>
  </si>
  <si>
    <t>For preserved waters (other than VOA vials, LL-Mercury or</t>
  </si>
  <si>
    <t>AK Air</t>
  </si>
  <si>
    <t>FedEx</t>
  </si>
  <si>
    <t>If yes, have you notified the lab?</t>
  </si>
  <si>
    <t>USPS</t>
  </si>
  <si>
    <t>UPS</t>
  </si>
  <si>
    <t>Are samples RUSH or SHORT HOLD TIME?</t>
  </si>
  <si>
    <t>Alert Courier</t>
  </si>
  <si>
    <t>Client</t>
  </si>
  <si>
    <t>received in proper lab-issued, pre-sterilized containers?</t>
  </si>
  <si>
    <t>SGS</t>
  </si>
  <si>
    <t>Delivery method:</t>
  </si>
  <si>
    <t>NA</t>
  </si>
  <si>
    <t>No</t>
  </si>
  <si>
    <t>Yes</t>
  </si>
  <si>
    <t>Were microbiology (Total Coliform, E. coli, LT2, etc.) samples</t>
  </si>
  <si>
    <t>Amount paid: $</t>
  </si>
  <si>
    <t>credit card</t>
  </si>
  <si>
    <t>check #</t>
  </si>
  <si>
    <t>cash</t>
  </si>
  <si>
    <t>prepaid</t>
  </si>
  <si>
    <t>Method of payment:</t>
  </si>
  <si>
    <t>Received by Lab By:</t>
  </si>
  <si>
    <t>Collected/Relinquished By:</t>
  </si>
  <si>
    <t>Special Instructions/comments:</t>
  </si>
  <si>
    <t>Sample Identification</t>
  </si>
  <si>
    <t>Lab No.</t>
  </si>
  <si>
    <t>Collection</t>
  </si>
  <si>
    <t xml:space="preserve">Invoice to: </t>
  </si>
  <si>
    <t xml:space="preserve">Reports to: </t>
  </si>
  <si>
    <t>FAC ID:</t>
  </si>
  <si>
    <t>PWSID #:</t>
  </si>
  <si>
    <r>
      <rPr>
        <b/>
        <sz val="10"/>
        <rFont val="Arial"/>
        <family val="2"/>
      </rPr>
      <t xml:space="preserve">Info Required for ADEC Submittal </t>
    </r>
    <r>
      <rPr>
        <sz val="10"/>
        <rFont val="Arial"/>
        <family val="2"/>
      </rPr>
      <t>- Missing or incorrect info may result in a delay</t>
    </r>
  </si>
  <si>
    <t>E-mail (Required for automated reporting):</t>
  </si>
  <si>
    <t>Fax:</t>
  </si>
  <si>
    <t>Contact:</t>
  </si>
  <si>
    <t>Sampling Point ID (Required for PWSID ADEC Submittals)</t>
  </si>
  <si>
    <t xml:space="preserve">     500 ml HDPE unpreserved</t>
  </si>
  <si>
    <r>
      <t>q</t>
    </r>
    <r>
      <rPr>
        <b/>
        <sz val="8"/>
        <rFont val="Arial"/>
        <family val="2"/>
      </rPr>
      <t xml:space="preserve"> PIWA wet chem tests (pH, Alk, TDS, Cond, other anions)</t>
    </r>
  </si>
  <si>
    <r>
      <t xml:space="preserve">    125 ml poly w/HNO</t>
    </r>
    <r>
      <rPr>
        <vertAlign val="subscript"/>
        <sz val="8"/>
        <rFont val="Arial"/>
        <family val="2"/>
      </rPr>
      <t>3</t>
    </r>
  </si>
  <si>
    <r>
      <t>q</t>
    </r>
    <r>
      <rPr>
        <b/>
        <sz val="8"/>
        <rFont val="Arial"/>
        <family val="2"/>
      </rPr>
      <t xml:space="preserve"> Arsenic (As)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P.I.W.A. Metals (including Hardness)
(metals by EPA 200.8)</t>
    </r>
  </si>
  <si>
    <r>
      <t>q</t>
    </r>
    <r>
      <rPr>
        <b/>
        <sz val="8"/>
        <rFont val="Arial"/>
        <family val="2"/>
      </rPr>
      <t xml:space="preserve"> NO2 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NO3    * Please arrange in advance *
(Defualt method will vary as needed to meet hold time)</t>
    </r>
  </si>
  <si>
    <r>
      <t xml:space="preserve">Nitrate (default method)   </t>
    </r>
    <r>
      <rPr>
        <b/>
        <sz val="8"/>
        <rFont val="Wingdings"/>
        <charset val="2"/>
      </rPr>
      <t xml:space="preserve">q </t>
    </r>
    <r>
      <rPr>
        <b/>
        <sz val="8"/>
        <rFont val="Arial"/>
        <family val="2"/>
      </rPr>
      <t>Total NO2 + NO3
(SM4500N-F = default method)</t>
    </r>
  </si>
  <si>
    <r>
      <t xml:space="preserve">     125 ml sterile w/ Na 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S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O</t>
    </r>
    <r>
      <rPr>
        <vertAlign val="subscript"/>
        <sz val="8"/>
        <rFont val="Arial"/>
        <family val="2"/>
      </rPr>
      <t>3</t>
    </r>
  </si>
  <si>
    <t>Total Coliform (Presence/Absence = default method)     Total Coliform (SM9223 Quantitray)</t>
  </si>
  <si>
    <t xml:space="preserve">Phone: </t>
  </si>
  <si>
    <t xml:space="preserve">Client: </t>
  </si>
  <si>
    <t>Check all that apply</t>
  </si>
  <si>
    <t>Please fill out completely.  (Shaded areas are for lab use only.)</t>
  </si>
  <si>
    <t>Chain of Custody &amp; Sample Receipt Form for Drinking Water Analyses</t>
  </si>
  <si>
    <t>Ph:  907-562-2343 / Fax:  907-561-5301</t>
  </si>
  <si>
    <t>200 W. Potter Drive, Anchorage, AK 99518</t>
  </si>
  <si>
    <t>Lab Reference Number</t>
  </si>
  <si>
    <t>Info Required for ADEC Submittal - Missing or incorrect info may result in a delay.  Information may be found on your ADEC Monitoring Summary.</t>
  </si>
  <si>
    <t>Initials:</t>
  </si>
  <si>
    <t>Date/Time:</t>
  </si>
  <si>
    <t>Signature:</t>
  </si>
  <si>
    <t>Email Positive Total Coliform/E.coli to Project Manager, QC Notices, Micro, and Data Management.  Notify ADEC if PWSID is present</t>
  </si>
  <si>
    <t>Analyst (Print):</t>
  </si>
  <si>
    <t>By: Fax:_______________Phone:__________________Email:_________________</t>
  </si>
  <si>
    <t>Reported to:</t>
  </si>
  <si>
    <t>Other Bacteria:</t>
  </si>
  <si>
    <t>E. coli / Fecal Coli:</t>
  </si>
  <si>
    <t>Total Coliform:</t>
  </si>
  <si>
    <t>Result:</t>
  </si>
  <si>
    <t xml:space="preserve">     SM9223 QuantTray</t>
  </si>
  <si>
    <t>Analyst:</t>
  </si>
  <si>
    <t xml:space="preserve">     SM9223B Presence/Absence</t>
  </si>
  <si>
    <t>Analysis Began:</t>
  </si>
  <si>
    <t>This section used for immediate notification of UNSATISFACTORY results only:</t>
  </si>
  <si>
    <t xml:space="preserve">        The sample was not received in a laboratory issue, pre-sterilized container, and was rejected.</t>
  </si>
  <si>
    <t xml:space="preserve">        The sample was received frozen or with visible ice, and was rejected.</t>
  </si>
  <si>
    <r>
      <t xml:space="preserve">        Sample over 30 hours old, results may be unreliable. </t>
    </r>
    <r>
      <rPr>
        <b/>
        <i/>
        <sz val="10"/>
        <color theme="1"/>
        <rFont val="Arial"/>
        <family val="2"/>
      </rPr>
      <t>Note: Source water HPC has 8 hour holding time</t>
    </r>
  </si>
  <si>
    <t>Sample Condition:</t>
  </si>
  <si>
    <t>*Please note if the above information is missing it may result in late reporting to the state for compliance*</t>
  </si>
  <si>
    <t>Delivery:        Client or      Other (specify):_______</t>
  </si>
  <si>
    <t>Temperature:      Ambient  or ___.___°C</t>
  </si>
  <si>
    <t>HH:MM</t>
  </si>
  <si>
    <t>MM/DD/YY</t>
  </si>
  <si>
    <t>Initials</t>
  </si>
  <si>
    <t>Signature</t>
  </si>
  <si>
    <t>Date:_________________Time:______________</t>
  </si>
  <si>
    <t>Received by:__________________________________</t>
  </si>
  <si>
    <t xml:space="preserve">       Repeat Sample - Original Lab Sample ID: ____________</t>
  </si>
  <si>
    <t>Salt Water (Request SM9223 Quantitray)</t>
  </si>
  <si>
    <t xml:space="preserve">       Drinking Water</t>
  </si>
  <si>
    <t>Sample Type:</t>
  </si>
  <si>
    <r>
      <t xml:space="preserve">SM9215-HPC - </t>
    </r>
    <r>
      <rPr>
        <b/>
        <sz val="10"/>
        <color theme="1"/>
        <rFont val="Arial"/>
        <family val="2"/>
      </rPr>
      <t>8 hour holding time for PWSIDs</t>
    </r>
  </si>
  <si>
    <t xml:space="preserve">Initials     </t>
  </si>
  <si>
    <t>SM9223-Total Coli Quantitray MPN</t>
  </si>
  <si>
    <t>Sample Collector:</t>
  </si>
  <si>
    <t>SM9223B-Total Coli P/A (Default)</t>
  </si>
  <si>
    <t>YYYY</t>
  </si>
  <si>
    <t>DD</t>
  </si>
  <si>
    <t>MM</t>
  </si>
  <si>
    <t>Analysis Requested (Select one)</t>
  </si>
  <si>
    <t>AM/PM</t>
  </si>
  <si>
    <t>_____</t>
  </si>
  <si>
    <t>_______</t>
  </si>
  <si>
    <t>*Date/Time of Collection:</t>
  </si>
  <si>
    <t>*Sample Location:</t>
  </si>
  <si>
    <t>SGS Workorder # (Lab Use Only)</t>
  </si>
  <si>
    <t xml:space="preserve">Water System Name: </t>
  </si>
  <si>
    <t>*Residual Cl- (mg/L):</t>
  </si>
  <si>
    <t>City, State, Zip:</t>
  </si>
  <si>
    <t>*Sample Point:</t>
  </si>
  <si>
    <t>*Facility ID:</t>
  </si>
  <si>
    <t>Phone:</t>
  </si>
  <si>
    <t>*PWSID #:</t>
  </si>
  <si>
    <t>Invoice to:</t>
  </si>
  <si>
    <r>
      <t xml:space="preserve">Info Required for ADEC Submittal- </t>
    </r>
    <r>
      <rPr>
        <b/>
        <i/>
        <sz val="8"/>
        <color theme="1"/>
        <rFont val="Arial"/>
        <family val="2"/>
      </rPr>
      <t>Missing or incorrect info may result in a delay.</t>
    </r>
  </si>
  <si>
    <t>Client:</t>
  </si>
  <si>
    <t>If samples for metals are not acid preserved they must be received by the lab within 14 days of sampling</t>
  </si>
  <si>
    <t>"First Draw" collection required                        If samples for metals are not acid preserved they must be received by the lab within 14 days of sampling</t>
  </si>
  <si>
    <t xml:space="preserve">field-filter; unpres. if lab-filtered
(should be field-filtered)                                    If samples for metals are not acid preserved they must be received by the lab within 14 days of sampling                               </t>
  </si>
  <si>
    <t>field-filter; unpres. if lab-filtered(should be field-filtered)                                                          If samples for metals are not acid preserved they must be received by the lab within 14 days of sampling</t>
  </si>
  <si>
    <t>(dechlorinate before collecting for cyanide if applicable)                                                     If samples for metals are not acid preserved they must be received by the lab within 14 days of sampling</t>
  </si>
  <si>
    <t>(dechlorinate before collecting for cyanide if applicable) If samples for metals are not acid preserved they must be received by the lab within 14 days of sampling</t>
  </si>
  <si>
    <t>PFAs (Polyfluorochemicals)</t>
  </si>
  <si>
    <t>PFAs</t>
  </si>
  <si>
    <t>Soil</t>
  </si>
  <si>
    <t>Product</t>
  </si>
  <si>
    <t>(Ref Lab) should include temp blank  in same type bottle</t>
  </si>
  <si>
    <t>(Ref Lab) should include temp blank in same type bottle</t>
  </si>
  <si>
    <t xml:space="preserve">0-6° C w/Trizma </t>
  </si>
  <si>
    <t>Analysis*</t>
  </si>
  <si>
    <t>NOTE:
*The following analyses require specific method and/or compound list: BTEX, Metals, PFAS</t>
  </si>
  <si>
    <r>
      <t xml:space="preserve">DOD Project?  </t>
    </r>
    <r>
      <rPr>
        <sz val="10"/>
        <rFont val="Arial"/>
        <family val="2"/>
      </rPr>
      <t>Yes  No</t>
    </r>
  </si>
  <si>
    <t>Chain of Custody &amp; Sample Receipt Form for Private Drinking Water Analyses (Non-PWSID)</t>
  </si>
  <si>
    <t>CLIENT INFORMATION</t>
  </si>
  <si>
    <t xml:space="preserve">Company Name: </t>
  </si>
  <si>
    <t>Please indicate the water source for these samples:</t>
  </si>
  <si>
    <t>Private residential well/water system</t>
  </si>
  <si>
    <t>E-mail (Required for reporting):</t>
  </si>
  <si>
    <t>Mobile Food Cart</t>
  </si>
  <si>
    <t xml:space="preserve">Address: </t>
  </si>
  <si>
    <t>Non-regulated private water system</t>
  </si>
  <si>
    <t>City/State/Zip</t>
  </si>
  <si>
    <t>Other (please list): ___________________</t>
  </si>
  <si>
    <t>SAMPLE INFORMATION</t>
  </si>
  <si>
    <t>CAN KIT</t>
  </si>
  <si>
    <t xml:space="preserve">Please complete all applicable fields below including sample location, collection date/time, and all analyses requested. </t>
  </si>
  <si>
    <t xml:space="preserve">Total Coliform SM9223B (Presence/Absence)    </t>
  </si>
  <si>
    <t xml:space="preserve">Arsenic (As)  by 200.8  </t>
  </si>
  <si>
    <t>PIWA (pH, Alk, TDS, Cond, other anions)</t>
  </si>
  <si>
    <t>Other (Pb/Cu, VOC, 200.8 metals, etc)</t>
  </si>
  <si>
    <r>
      <t>Total Coliform (SM9223 Quantitray)-</t>
    </r>
    <r>
      <rPr>
        <sz val="8"/>
        <rFont val="Arial"/>
        <family val="2"/>
      </rPr>
      <t>-SEAWATER</t>
    </r>
  </si>
  <si>
    <t xml:space="preserve">SM9215 Heterotrophic Plate Count </t>
  </si>
  <si>
    <t>Sample Identification/Location</t>
  </si>
  <si>
    <t>Collection Date</t>
  </si>
  <si>
    <t>Collection Time (am/pm)</t>
  </si>
  <si>
    <t>Sample Comments/Special Instructions:</t>
  </si>
  <si>
    <t>SAMPLE CONDITION (FOR LAB USE ONLY)</t>
  </si>
  <si>
    <t>yes</t>
  </si>
  <si>
    <t>no</t>
  </si>
  <si>
    <t>Delivery Method:</t>
  </si>
  <si>
    <t>Other: _______________</t>
  </si>
  <si>
    <t>For preserved waters (other than VOA vials, LL-Mercury or microbiological analyses), was pH verified and compliant?</t>
  </si>
  <si>
    <t xml:space="preserve">Temperature upon receipt (if applicable): </t>
  </si>
  <si>
    <t>Are there any issues with the samples? (i.e. frozen, incorrect containers, past 30 hour hold time)</t>
  </si>
  <si>
    <t>This section used for immediate notification of UNSATISFACTORY coliform results only:</t>
  </si>
  <si>
    <t xml:space="preserve">Analyst: </t>
  </si>
  <si>
    <t>Result</t>
  </si>
  <si>
    <t>Total Coliform</t>
  </si>
  <si>
    <t xml:space="preserve">E.Coli/Fecal </t>
  </si>
  <si>
    <t>E.coli/Fecal Coliform</t>
  </si>
  <si>
    <t>Other Bacteria</t>
  </si>
  <si>
    <t xml:space="preserve">Email Positive Total Coliforms/E.coli to Project Manager, QC Notices, Micro, and Data Management. </t>
  </si>
  <si>
    <r>
      <t xml:space="preserve">
</t>
    </r>
    <r>
      <rPr>
        <b/>
        <sz val="20"/>
        <rFont val="Arial"/>
        <family val="2"/>
      </rPr>
      <t>SGS North America</t>
    </r>
    <r>
      <rPr>
        <sz val="20"/>
        <rFont val="Arial"/>
        <family val="2"/>
      </rPr>
      <t xml:space="preserve">
200 W. Potter Drive, Anchorage, AK 99518
(ph) 907-562-2343; (fax) 907-561-5301</t>
    </r>
  </si>
  <si>
    <t>1 - Instructions</t>
  </si>
  <si>
    <t>2 - Sample Kit Request</t>
  </si>
  <si>
    <t>3 - Prepaid Kit Request COC</t>
  </si>
  <si>
    <t>4 - Standard COC</t>
  </si>
  <si>
    <t>5 - Drinking Water Long Form COC</t>
  </si>
  <si>
    <t>6 - Drinking Water Short Form COC</t>
  </si>
  <si>
    <t>7 - Drinking Water Total Coliform COC</t>
  </si>
  <si>
    <t>8 - Drinking Water Non-PWS COC</t>
  </si>
  <si>
    <t>9 - Sample Guide</t>
  </si>
  <si>
    <t>28 days (for Hg)
180 days (other)</t>
  </si>
  <si>
    <t>2x1 L HDPE (entire volume required)</t>
  </si>
  <si>
    <t>requires 2 full Liter</t>
  </si>
  <si>
    <t>0-6°C</t>
  </si>
  <si>
    <t>H2SO4;0-6°C</t>
  </si>
  <si>
    <t>HCl; 0-6°C</t>
  </si>
  <si>
    <t>Samples received &lt; 24 hours from collection need to be in the process of cooling.</t>
  </si>
  <si>
    <r>
      <rPr>
        <b/>
        <sz val="28"/>
        <color rgb="FF363636"/>
        <rFont val="Arial"/>
        <family val="2"/>
      </rPr>
      <t>PFAS ANALYTES</t>
    </r>
  </si>
  <si>
    <t>Common Reporting Lists</t>
  </si>
  <si>
    <t>Certifications</t>
  </si>
  <si>
    <r>
      <rPr>
        <b/>
        <sz val="9"/>
        <color rgb="FFFFFFFF"/>
        <rFont val="Arial"/>
        <family val="2"/>
      </rPr>
      <t>ANALYTE                                                                                                                     ACRONYM                                   CAS #                                                                                                             REPORT LISTS*                                                                                                                                                               CERTS</t>
    </r>
  </si>
  <si>
    <r>
      <rPr>
        <b/>
        <sz val="10"/>
        <rFont val="Arial"/>
        <family val="2"/>
      </rPr>
      <t>PFOA PFOS GENX</t>
    </r>
  </si>
  <si>
    <r>
      <rPr>
        <b/>
        <sz val="10"/>
        <rFont val="Arial"/>
        <family val="2"/>
      </rPr>
      <t>UCMR3
List</t>
    </r>
  </si>
  <si>
    <r>
      <rPr>
        <b/>
        <sz val="10"/>
        <rFont val="Arial"/>
        <family val="2"/>
      </rPr>
      <t>EPA 537
List</t>
    </r>
  </si>
  <si>
    <r>
      <rPr>
        <b/>
        <sz val="10"/>
        <rFont val="Arial"/>
        <family val="2"/>
      </rPr>
      <t>EPA 537.1
List</t>
    </r>
  </si>
  <si>
    <r>
      <rPr>
        <b/>
        <sz val="10"/>
        <rFont val="Arial"/>
        <family val="2"/>
      </rPr>
      <t>NH Short
List</t>
    </r>
  </si>
  <si>
    <r>
      <rPr>
        <b/>
        <sz val="10"/>
        <rFont val="Arial"/>
        <family val="2"/>
      </rPr>
      <t>NH Long
List</t>
    </r>
  </si>
  <si>
    <r>
      <rPr>
        <b/>
        <sz val="10"/>
        <rFont val="Arial"/>
        <family val="2"/>
      </rPr>
      <t>TCEQ List</t>
    </r>
  </si>
  <si>
    <r>
      <rPr>
        <b/>
        <sz val="10"/>
        <rFont val="Arial"/>
        <family val="2"/>
      </rPr>
      <t>NY List</t>
    </r>
  </si>
  <si>
    <t>AK List</t>
  </si>
  <si>
    <r>
      <rPr>
        <b/>
        <sz val="10"/>
        <rFont val="Arial"/>
        <family val="2"/>
      </rPr>
      <t>MI List</t>
    </r>
  </si>
  <si>
    <r>
      <rPr>
        <b/>
        <sz val="10"/>
        <rFont val="Arial"/>
        <family val="2"/>
      </rPr>
      <t>QSM 5.1 "List"</t>
    </r>
  </si>
  <si>
    <r>
      <rPr>
        <b/>
        <sz val="10"/>
        <rFont val="Arial"/>
        <family val="2"/>
      </rPr>
      <t>DOD ELAP</t>
    </r>
  </si>
  <si>
    <r>
      <rPr>
        <b/>
        <sz val="10"/>
        <rFont val="Arial"/>
        <family val="2"/>
      </rPr>
      <t>FL NELAC</t>
    </r>
  </si>
  <si>
    <r>
      <rPr>
        <b/>
        <sz val="10"/>
        <rFont val="Arial"/>
        <family val="2"/>
      </rPr>
      <t>PERFLUOROALKYL CARBOXYLIC ACIDS</t>
    </r>
  </si>
  <si>
    <r>
      <rPr>
        <sz val="10"/>
        <rFont val="Arial"/>
        <family val="2"/>
      </rPr>
      <t>Perfluorobutanoic acid</t>
    </r>
  </si>
  <si>
    <r>
      <rPr>
        <sz val="10"/>
        <rFont val="Arial"/>
        <family val="2"/>
      </rPr>
      <t>PFBA</t>
    </r>
  </si>
  <si>
    <r>
      <rPr>
        <sz val="10"/>
        <rFont val="Arial"/>
        <family val="2"/>
      </rPr>
      <t>375-22-4</t>
    </r>
  </si>
  <si>
    <r>
      <rPr>
        <sz val="10"/>
        <rFont val="Arial"/>
        <family val="2"/>
      </rPr>
      <t>X</t>
    </r>
  </si>
  <si>
    <r>
      <rPr>
        <sz val="10"/>
        <rFont val="Arial"/>
        <family val="2"/>
      </rPr>
      <t>Perfluoropentanoic acid</t>
    </r>
  </si>
  <si>
    <r>
      <rPr>
        <sz val="10"/>
        <rFont val="Arial"/>
        <family val="2"/>
      </rPr>
      <t>PFPeA</t>
    </r>
  </si>
  <si>
    <r>
      <rPr>
        <sz val="10"/>
        <rFont val="Arial"/>
        <family val="2"/>
      </rPr>
      <t>2706-90-3</t>
    </r>
  </si>
  <si>
    <r>
      <rPr>
        <sz val="10"/>
        <rFont val="Arial"/>
        <family val="2"/>
      </rPr>
      <t>Perfluorohexanoic acid</t>
    </r>
  </si>
  <si>
    <r>
      <rPr>
        <sz val="10"/>
        <rFont val="Arial"/>
        <family val="2"/>
      </rPr>
      <t>PFHxA</t>
    </r>
  </si>
  <si>
    <r>
      <rPr>
        <sz val="10"/>
        <rFont val="Arial"/>
        <family val="2"/>
      </rPr>
      <t>307-24-4</t>
    </r>
  </si>
  <si>
    <t>X</t>
  </si>
  <si>
    <r>
      <rPr>
        <sz val="10"/>
        <rFont val="Arial"/>
        <family val="2"/>
      </rPr>
      <t>Perfluoroheptanoic acid</t>
    </r>
  </si>
  <si>
    <r>
      <rPr>
        <sz val="10"/>
        <rFont val="Arial"/>
        <family val="2"/>
      </rPr>
      <t>PFHpA</t>
    </r>
  </si>
  <si>
    <r>
      <rPr>
        <sz val="10"/>
        <rFont val="Arial"/>
        <family val="2"/>
      </rPr>
      <t>375-85-9</t>
    </r>
  </si>
  <si>
    <r>
      <rPr>
        <sz val="10"/>
        <rFont val="Arial"/>
        <family val="2"/>
      </rPr>
      <t>Perfluorooctanoic acid</t>
    </r>
  </si>
  <si>
    <r>
      <rPr>
        <sz val="10"/>
        <rFont val="Arial"/>
        <family val="2"/>
      </rPr>
      <t>PFOA</t>
    </r>
  </si>
  <si>
    <r>
      <rPr>
        <sz val="10"/>
        <rFont val="Arial"/>
        <family val="2"/>
      </rPr>
      <t>335-67-1</t>
    </r>
  </si>
  <si>
    <r>
      <rPr>
        <sz val="10"/>
        <rFont val="Arial"/>
        <family val="2"/>
      </rPr>
      <t>Perfluorononanoic acid</t>
    </r>
  </si>
  <si>
    <r>
      <rPr>
        <sz val="10"/>
        <rFont val="Arial"/>
        <family val="2"/>
      </rPr>
      <t>PFNA</t>
    </r>
  </si>
  <si>
    <r>
      <rPr>
        <sz val="10"/>
        <rFont val="Arial"/>
        <family val="2"/>
      </rPr>
      <t>375-95-1</t>
    </r>
  </si>
  <si>
    <r>
      <rPr>
        <sz val="10"/>
        <rFont val="Arial"/>
        <family val="2"/>
      </rPr>
      <t>Perfluorodecanoic acid</t>
    </r>
  </si>
  <si>
    <r>
      <rPr>
        <sz val="10"/>
        <rFont val="Arial"/>
        <family val="2"/>
      </rPr>
      <t>PFDA</t>
    </r>
  </si>
  <si>
    <r>
      <rPr>
        <sz val="10"/>
        <rFont val="Arial"/>
        <family val="2"/>
      </rPr>
      <t>335-76-2</t>
    </r>
  </si>
  <si>
    <r>
      <rPr>
        <sz val="10"/>
        <rFont val="Arial"/>
        <family val="2"/>
      </rPr>
      <t>Perfluoroundecanoic acid</t>
    </r>
  </si>
  <si>
    <r>
      <rPr>
        <sz val="10"/>
        <rFont val="Arial"/>
        <family val="2"/>
      </rPr>
      <t>PFUnDA or PFUnA</t>
    </r>
  </si>
  <si>
    <r>
      <rPr>
        <sz val="10"/>
        <rFont val="Arial"/>
        <family val="2"/>
      </rPr>
      <t>2058-94-8</t>
    </r>
  </si>
  <si>
    <r>
      <rPr>
        <sz val="10"/>
        <rFont val="Arial"/>
        <family val="2"/>
      </rPr>
      <t>Perfluorododecanoic acid</t>
    </r>
  </si>
  <si>
    <r>
      <rPr>
        <sz val="10"/>
        <rFont val="Arial"/>
        <family val="2"/>
      </rPr>
      <t>PFDoDA or PFDoA</t>
    </r>
  </si>
  <si>
    <r>
      <rPr>
        <sz val="10"/>
        <rFont val="Arial"/>
        <family val="2"/>
      </rPr>
      <t>307-55-1</t>
    </r>
  </si>
  <si>
    <r>
      <rPr>
        <sz val="10"/>
        <rFont val="Arial"/>
        <family val="2"/>
      </rPr>
      <t>Perfluorotridecanoic acid</t>
    </r>
  </si>
  <si>
    <r>
      <rPr>
        <sz val="10"/>
        <rFont val="Arial"/>
        <family val="2"/>
      </rPr>
      <t>PFTrDA</t>
    </r>
  </si>
  <si>
    <r>
      <rPr>
        <sz val="10"/>
        <rFont val="Arial"/>
        <family val="2"/>
      </rPr>
      <t>72629-94-8</t>
    </r>
  </si>
  <si>
    <r>
      <rPr>
        <sz val="10"/>
        <rFont val="Arial"/>
        <family val="2"/>
      </rPr>
      <t>Perfluorotetradecanoic acid</t>
    </r>
  </si>
  <si>
    <r>
      <rPr>
        <sz val="10"/>
        <rFont val="Arial"/>
        <family val="2"/>
      </rPr>
      <t>PFTeDA</t>
    </r>
  </si>
  <si>
    <r>
      <rPr>
        <sz val="10"/>
        <rFont val="Arial"/>
        <family val="2"/>
      </rPr>
      <t>376-06-7</t>
    </r>
  </si>
  <si>
    <r>
      <rPr>
        <b/>
        <sz val="10"/>
        <rFont val="Arial"/>
        <family val="2"/>
      </rPr>
      <t>PERFLUOROALKYL SULFONIC ACIDS</t>
    </r>
  </si>
  <si>
    <r>
      <rPr>
        <sz val="10"/>
        <rFont val="Arial"/>
        <family val="2"/>
      </rPr>
      <t>Perfluorobutanesulfonic acid</t>
    </r>
  </si>
  <si>
    <r>
      <rPr>
        <sz val="10"/>
        <rFont val="Arial"/>
        <family val="2"/>
      </rPr>
      <t>PFBS</t>
    </r>
  </si>
  <si>
    <r>
      <rPr>
        <sz val="10"/>
        <rFont val="Arial"/>
        <family val="2"/>
      </rPr>
      <t>375-73-5</t>
    </r>
  </si>
  <si>
    <r>
      <rPr>
        <sz val="10"/>
        <rFont val="Arial"/>
        <family val="2"/>
      </rPr>
      <t>Perfluoropentanesulfonic acid</t>
    </r>
  </si>
  <si>
    <r>
      <rPr>
        <sz val="10"/>
        <rFont val="Arial"/>
        <family val="2"/>
      </rPr>
      <t>PFPeS</t>
    </r>
  </si>
  <si>
    <r>
      <rPr>
        <sz val="10"/>
        <rFont val="Arial"/>
        <family val="2"/>
      </rPr>
      <t>2706-91-4</t>
    </r>
  </si>
  <si>
    <r>
      <rPr>
        <sz val="10"/>
        <rFont val="Arial"/>
        <family val="2"/>
      </rPr>
      <t>Perfluorohexanesulfonic acid</t>
    </r>
  </si>
  <si>
    <r>
      <rPr>
        <sz val="10"/>
        <rFont val="Arial"/>
        <family val="2"/>
      </rPr>
      <t>PFHxS</t>
    </r>
  </si>
  <si>
    <r>
      <rPr>
        <sz val="10"/>
        <rFont val="Arial"/>
        <family val="2"/>
      </rPr>
      <t>355-46-4</t>
    </r>
  </si>
  <si>
    <r>
      <rPr>
        <sz val="10"/>
        <rFont val="Arial"/>
        <family val="2"/>
      </rPr>
      <t>Perfluoroheptanesulfonic acid</t>
    </r>
  </si>
  <si>
    <r>
      <rPr>
        <sz val="10"/>
        <rFont val="Arial"/>
        <family val="2"/>
      </rPr>
      <t>PFHpS</t>
    </r>
  </si>
  <si>
    <r>
      <rPr>
        <sz val="10"/>
        <rFont val="Arial"/>
        <family val="2"/>
      </rPr>
      <t>375-92-8</t>
    </r>
  </si>
  <si>
    <r>
      <rPr>
        <sz val="10"/>
        <rFont val="Arial"/>
        <family val="2"/>
      </rPr>
      <t>Perfluorooctanesulfonic acid</t>
    </r>
  </si>
  <si>
    <r>
      <rPr>
        <sz val="10"/>
        <rFont val="Arial"/>
        <family val="2"/>
      </rPr>
      <t>PFOS</t>
    </r>
  </si>
  <si>
    <r>
      <rPr>
        <sz val="10"/>
        <rFont val="Arial"/>
        <family val="2"/>
      </rPr>
      <t>1763-23-1</t>
    </r>
  </si>
  <si>
    <r>
      <rPr>
        <sz val="10"/>
        <rFont val="Arial"/>
        <family val="2"/>
      </rPr>
      <t>Perfluorononanesulfonic acid</t>
    </r>
  </si>
  <si>
    <r>
      <rPr>
        <sz val="10"/>
        <rFont val="Arial"/>
        <family val="2"/>
      </rPr>
      <t>PFNS</t>
    </r>
  </si>
  <si>
    <r>
      <rPr>
        <sz val="10"/>
        <rFont val="Arial"/>
        <family val="2"/>
      </rPr>
      <t>474511-07-4</t>
    </r>
  </si>
  <si>
    <r>
      <rPr>
        <sz val="10"/>
        <rFont val="Arial"/>
        <family val="2"/>
      </rPr>
      <t>Perfluorodecanesulfonic acid</t>
    </r>
  </si>
  <si>
    <r>
      <rPr>
        <sz val="10"/>
        <rFont val="Arial"/>
        <family val="2"/>
      </rPr>
      <t>PFDS</t>
    </r>
  </si>
  <si>
    <r>
      <rPr>
        <sz val="10"/>
        <rFont val="Arial"/>
        <family val="2"/>
      </rPr>
      <t>335-77-3</t>
    </r>
  </si>
  <si>
    <r>
      <rPr>
        <b/>
        <sz val="10"/>
        <rFont val="Arial"/>
        <family val="2"/>
      </rPr>
      <t>PERFLUOROOCTANE SULFONAMIDES</t>
    </r>
  </si>
  <si>
    <r>
      <rPr>
        <sz val="10"/>
        <rFont val="Arial"/>
        <family val="2"/>
      </rPr>
      <t>Perfluorooctane sulfonamide</t>
    </r>
  </si>
  <si>
    <r>
      <rPr>
        <sz val="10"/>
        <rFont val="Arial"/>
        <family val="2"/>
      </rPr>
      <t>FOSA or PFOSA</t>
    </r>
  </si>
  <si>
    <r>
      <rPr>
        <sz val="10"/>
        <rFont val="Arial"/>
        <family val="2"/>
      </rPr>
      <t>754-91-6</t>
    </r>
  </si>
  <si>
    <r>
      <rPr>
        <sz val="10"/>
        <rFont val="Arial"/>
        <family val="2"/>
      </rPr>
      <t>N-Methyl perfluorooctane sulfonamide</t>
    </r>
  </si>
  <si>
    <r>
      <rPr>
        <sz val="10"/>
        <rFont val="Arial"/>
        <family val="2"/>
      </rPr>
      <t>N-MeFOSA</t>
    </r>
  </si>
  <si>
    <r>
      <rPr>
        <sz val="10"/>
        <rFont val="Arial"/>
        <family val="2"/>
      </rPr>
      <t>31506-32-8</t>
    </r>
  </si>
  <si>
    <r>
      <rPr>
        <sz val="10"/>
        <rFont val="Arial"/>
        <family val="2"/>
      </rPr>
      <t>X*</t>
    </r>
  </si>
  <si>
    <r>
      <rPr>
        <sz val="10"/>
        <rFont val="Arial"/>
        <family val="2"/>
      </rPr>
      <t>N-Ethyl perfluorooctane sulfonamide</t>
    </r>
  </si>
  <si>
    <r>
      <rPr>
        <sz val="10"/>
        <rFont val="Arial"/>
        <family val="2"/>
      </rPr>
      <t>N-EtFOSA</t>
    </r>
  </si>
  <si>
    <r>
      <rPr>
        <sz val="10"/>
        <rFont val="Arial"/>
        <family val="2"/>
      </rPr>
      <t>4151-50-2</t>
    </r>
  </si>
  <si>
    <r>
      <rPr>
        <b/>
        <sz val="10"/>
        <rFont val="Arial"/>
        <family val="2"/>
      </rPr>
      <t>PERFLUOROOCTANE SULFONAMIDO ACETIC ACIDS</t>
    </r>
  </si>
  <si>
    <r>
      <rPr>
        <sz val="10"/>
        <rFont val="Arial"/>
        <family val="2"/>
      </rPr>
      <t>N-Methyl perfluorooctanesulfonamidoacetic acid</t>
    </r>
  </si>
  <si>
    <r>
      <rPr>
        <sz val="10"/>
        <rFont val="Arial"/>
        <family val="2"/>
      </rPr>
      <t>N-MeFOSAA</t>
    </r>
  </si>
  <si>
    <r>
      <rPr>
        <sz val="10"/>
        <rFont val="Arial"/>
        <family val="2"/>
      </rPr>
      <t>2355-31-9</t>
    </r>
  </si>
  <si>
    <r>
      <rPr>
        <sz val="10"/>
        <rFont val="Arial"/>
        <family val="2"/>
      </rPr>
      <t>N-Ethyl perfluorooctanesulfonamidoacetic acid</t>
    </r>
  </si>
  <si>
    <r>
      <rPr>
        <sz val="10"/>
        <rFont val="Arial"/>
        <family val="2"/>
      </rPr>
      <t>N-EtFOSAA</t>
    </r>
  </si>
  <si>
    <r>
      <rPr>
        <sz val="10"/>
        <rFont val="Arial"/>
        <family val="2"/>
      </rPr>
      <t>2991-50-6</t>
    </r>
  </si>
  <si>
    <r>
      <rPr>
        <b/>
        <sz val="10"/>
        <rFont val="Arial"/>
        <family val="2"/>
      </rPr>
      <t>PERFLUOROOCTANE SULFONAMIDO ETHANOLS</t>
    </r>
  </si>
  <si>
    <r>
      <rPr>
        <sz val="10"/>
        <rFont val="Arial"/>
        <family val="2"/>
      </rPr>
      <t>N-Methyl perfluorooctane sulfonamidoethanol</t>
    </r>
  </si>
  <si>
    <r>
      <rPr>
        <sz val="10"/>
        <rFont val="Arial"/>
        <family val="2"/>
      </rPr>
      <t>N-MeFOSE</t>
    </r>
  </si>
  <si>
    <r>
      <rPr>
        <sz val="10"/>
        <rFont val="Arial"/>
        <family val="2"/>
      </rPr>
      <t>24448-09-7</t>
    </r>
  </si>
  <si>
    <r>
      <rPr>
        <sz val="10"/>
        <rFont val="Arial"/>
        <family val="2"/>
      </rPr>
      <t>N-Ethyl perfluorooctane sulfonamidoethanol</t>
    </r>
  </si>
  <si>
    <r>
      <rPr>
        <sz val="10"/>
        <rFont val="Arial"/>
        <family val="2"/>
      </rPr>
      <t>N-EtFOSE</t>
    </r>
  </si>
  <si>
    <r>
      <rPr>
        <sz val="10"/>
        <rFont val="Arial"/>
        <family val="2"/>
      </rPr>
      <t>1691-99-2</t>
    </r>
  </si>
  <si>
    <r>
      <rPr>
        <b/>
        <sz val="10"/>
        <rFont val="Arial"/>
        <family val="2"/>
      </rPr>
      <t>FLUOROTELOMER SULFONATES</t>
    </r>
  </si>
  <si>
    <r>
      <rPr>
        <sz val="10"/>
        <rFont val="Arial"/>
        <family val="2"/>
      </rPr>
      <t>4:2 Fluorotelomer sulfonate</t>
    </r>
  </si>
  <si>
    <r>
      <rPr>
        <sz val="10"/>
        <rFont val="Arial"/>
        <family val="2"/>
      </rPr>
      <t>4:2 FTS</t>
    </r>
  </si>
  <si>
    <r>
      <rPr>
        <sz val="10"/>
        <rFont val="Arial"/>
        <family val="2"/>
      </rPr>
      <t>757124-72-4</t>
    </r>
  </si>
  <si>
    <r>
      <rPr>
        <sz val="10"/>
        <rFont val="Arial"/>
        <family val="2"/>
      </rPr>
      <t>6:2 Fluorotelomer sulfonate</t>
    </r>
  </si>
  <si>
    <r>
      <rPr>
        <sz val="10"/>
        <rFont val="Arial"/>
        <family val="2"/>
      </rPr>
      <t>6:2 FTS</t>
    </r>
  </si>
  <si>
    <r>
      <rPr>
        <sz val="10"/>
        <rFont val="Arial"/>
        <family val="2"/>
      </rPr>
      <t>27619-97-2</t>
    </r>
  </si>
  <si>
    <r>
      <rPr>
        <sz val="10"/>
        <rFont val="Arial"/>
        <family val="2"/>
      </rPr>
      <t>8:2 Fluorotelomer sulfonate</t>
    </r>
  </si>
  <si>
    <r>
      <rPr>
        <sz val="10"/>
        <rFont val="Arial"/>
        <family val="2"/>
      </rPr>
      <t>8:2 FTS</t>
    </r>
  </si>
  <si>
    <r>
      <rPr>
        <sz val="10"/>
        <rFont val="Arial"/>
        <family val="2"/>
      </rPr>
      <t>39108-34-4</t>
    </r>
  </si>
  <si>
    <r>
      <rPr>
        <b/>
        <sz val="10"/>
        <rFont val="Arial"/>
        <family val="2"/>
      </rPr>
      <t>PERFLUOROETHER CARBOXYLIC/SULFONIC ACIDS (PFECA/PFESA)</t>
    </r>
  </si>
  <si>
    <r>
      <rPr>
        <sz val="10"/>
        <rFont val="Arial"/>
        <family val="2"/>
      </rPr>
      <t>Tetrafluoro-2-(heptafluoropropoxy)-propanoic acid (GenX)</t>
    </r>
  </si>
  <si>
    <r>
      <rPr>
        <sz val="10"/>
        <rFont val="Arial"/>
        <family val="2"/>
      </rPr>
      <t>HFPO-DA</t>
    </r>
  </si>
  <si>
    <r>
      <rPr>
        <sz val="10"/>
        <rFont val="Arial"/>
        <family val="2"/>
      </rPr>
      <t>13252-13-6</t>
    </r>
  </si>
  <si>
    <r>
      <rPr>
        <sz val="10"/>
        <rFont val="Arial"/>
        <family val="2"/>
      </rPr>
      <t>4,8-dioxa-3H-perfluorononanoic acid</t>
    </r>
  </si>
  <si>
    <r>
      <rPr>
        <sz val="10"/>
        <rFont val="Arial"/>
        <family val="2"/>
      </rPr>
      <t>ADONA</t>
    </r>
  </si>
  <si>
    <r>
      <rPr>
        <sz val="10"/>
        <rFont val="Arial"/>
        <family val="2"/>
      </rPr>
      <t>919005-14-4</t>
    </r>
  </si>
  <si>
    <r>
      <rPr>
        <sz val="10"/>
        <rFont val="Arial"/>
        <family val="2"/>
      </rPr>
      <t>9-chlorohexadecafluoro-3-oxanone-1-sulfonic acid (F-53B Major)</t>
    </r>
  </si>
  <si>
    <r>
      <rPr>
        <sz val="10"/>
        <rFont val="Arial"/>
        <family val="2"/>
      </rPr>
      <t>9Cl-PF3ONS</t>
    </r>
  </si>
  <si>
    <r>
      <rPr>
        <sz val="10"/>
        <rFont val="Arial"/>
        <family val="2"/>
      </rPr>
      <t>756426-58-1</t>
    </r>
  </si>
  <si>
    <r>
      <rPr>
        <sz val="10"/>
        <rFont val="Arial"/>
        <family val="2"/>
      </rPr>
      <t>11-chloroeicosafluoro-3-oxaundecane-1-sulfonic acid (F-53B Minor)</t>
    </r>
  </si>
  <si>
    <r>
      <rPr>
        <sz val="10"/>
        <rFont val="Arial"/>
        <family val="2"/>
      </rPr>
      <t>11Cl-PF3OUdS</t>
    </r>
  </si>
  <si>
    <r>
      <rPr>
        <sz val="10"/>
        <rFont val="Arial"/>
        <family val="2"/>
      </rPr>
      <t>763051-92-9</t>
    </r>
  </si>
  <si>
    <r>
      <rPr>
        <sz val="7"/>
        <rFont val="Arial"/>
        <family val="2"/>
      </rPr>
      <t>Updated June 2019 | Custom report lists are available | *Available at SGS Axys &amp; Wilmington labs                                                                                                                                                            Please contact the laboratory for DL, LOD and LOQ</t>
    </r>
  </si>
  <si>
    <t>10-PFAS</t>
  </si>
  <si>
    <t>N/A</t>
  </si>
  <si>
    <t>Pack for Shipment via:</t>
  </si>
  <si>
    <t>Temperature Blank:</t>
  </si>
  <si>
    <t>Trip Blank:</t>
  </si>
  <si>
    <t>Coolers:</t>
  </si>
  <si>
    <t>Gel Ice:</t>
  </si>
  <si>
    <t>Labels:</t>
  </si>
  <si>
    <t>Custody Seals:</t>
  </si>
  <si>
    <t>Yes - Small (125 mL)</t>
  </si>
  <si>
    <t>Yes - Large (500 mL)</t>
  </si>
  <si>
    <t>Yes - Soil</t>
  </si>
  <si>
    <t>Yes - Drinking Water (524)</t>
  </si>
  <si>
    <t>Yes - Water (8260, AK101, 8021, 624)</t>
  </si>
  <si>
    <t>Paper Chain of Custody:</t>
  </si>
  <si>
    <t>Yes - Standard COC</t>
  </si>
  <si>
    <t>Yes - Drinking Water "Long Form" COC</t>
  </si>
  <si>
    <t>Yes - Drinking Water "Short Form" COC</t>
  </si>
  <si>
    <t>Yes - COC Initiated by Project Manager (attached)</t>
  </si>
  <si>
    <t>No - Electronic or Client will Provide COC</t>
  </si>
  <si>
    <t>Yes (Required for DOD)</t>
  </si>
  <si>
    <t>2. Fill container, but do not overfill (except volatiles).</t>
  </si>
  <si>
    <t>3. Label the container with your sample ID and date/time of collection</t>
  </si>
  <si>
    <t>4. Fill out the Chain of Custody.</t>
  </si>
  <si>
    <t>5. Add frozen gel packs to your cooler and pack to prevent breakage.</t>
  </si>
  <si>
    <t xml:space="preserve">If you have any questions please contact your Project Manager. </t>
  </si>
  <si>
    <t>Air Transport (IATA)</t>
  </si>
  <si>
    <t>Ground Transport (DOT)</t>
  </si>
  <si>
    <t>Notes for Kit Prep</t>
  </si>
  <si>
    <t>1. Do not rinse container, be aware of any acid preservative.</t>
  </si>
  <si>
    <t>Yes - Frozen Ice</t>
  </si>
  <si>
    <t>Additional Information</t>
  </si>
  <si>
    <t>Lot Number Tracking (Required for DOD):</t>
  </si>
  <si>
    <t>Note: The first 10 Analysis and Preservative columns will auto-fill up to the capacity of the associated COC.</t>
  </si>
  <si>
    <t>48 hrs for
anions, pH,
Alkalinity, etc.</t>
  </si>
  <si>
    <t xml:space="preserve"> If samples for metals are not acid preserved they must be received by the lab within 14 days of sampling</t>
  </si>
  <si>
    <t>EPA 200.8, 300,
SM 4500H-B, 2120B,
2330B,  2320B, 2540C</t>
  </si>
  <si>
    <t>EPA 200.8, 300,
SM 4500H-B, 2120B,
2330B, 2320B, 2540C</t>
  </si>
  <si>
    <t xml:space="preserve">     60 ml nalgene; preserved w/ H 2SO4 ,and sample is in the process of cooling(IPC)</t>
  </si>
  <si>
    <t xml:space="preserve">     60 ml nalgene; unpreserved, and sample is in the process of cooling(IPC)</t>
  </si>
  <si>
    <t xml:space="preserve">Total Nitrate/Nitrite (SM21 4500NO3-F) In the process of cooling (IPC)
</t>
  </si>
  <si>
    <t xml:space="preserve">      Special Sample</t>
  </si>
  <si>
    <t>SW 8260D SIM</t>
  </si>
  <si>
    <t>SW 8021B/8260D</t>
  </si>
  <si>
    <t>SW 6020B</t>
  </si>
  <si>
    <t>EPA 245.1</t>
  </si>
  <si>
    <t>EPA 200.8
or SW 6020A/7470A</t>
  </si>
  <si>
    <t>Water/DW</t>
  </si>
  <si>
    <t>EPA 200.8 (DW)
or SW 6020A/7470A</t>
  </si>
  <si>
    <t>28 days (Hg only), 180 days (all others)</t>
  </si>
  <si>
    <t xml:space="preserve">(Ref Lab) field-filter; unpres. If lab-filtered (should be field-filtered) If samples are not acid preserved they must be received by the lab within 14 days of sampling. </t>
  </si>
  <si>
    <t>537M</t>
  </si>
  <si>
    <t>EPA 537.1</t>
  </si>
  <si>
    <t>Water (GW/WW/SW)</t>
  </si>
  <si>
    <t>2x125 ml polypropylene</t>
  </si>
  <si>
    <t>2x250 ml polypropylene</t>
  </si>
  <si>
    <t>1x4 oz polypropylene</t>
  </si>
  <si>
    <t>1x125 ml polypropylene</t>
  </si>
  <si>
    <t>40 grams</t>
  </si>
  <si>
    <t>&lt;5 ml</t>
  </si>
  <si>
    <t>1x125 ml HDPE for metals;
1x60 ml Nalgene for anions</t>
  </si>
  <si>
    <t>1x125 ml HDPE for metals;
1x125 ml Nalgene for cyanide</t>
  </si>
  <si>
    <t>HNO3 for metals,
NaOH for CN;
0-6° C; Sodium Arsenite needed if chlorinated</t>
  </si>
  <si>
    <t>HNO3 for metals,
NaOH for CN;
2-6° C; Sodium Arsenite needed if chlorinated</t>
  </si>
  <si>
    <t>sterile 120 ml container for coli
60 ml Nalgene for NO2+NO3
1x125 mL Nalgene for metals
1x500 ml HDPE for other analyses</t>
  </si>
  <si>
    <t>RADS (i.e., Gross
 Alpha, Radium 226/228, Uranium)</t>
  </si>
  <si>
    <t>HCl; HCl; 0-6° C</t>
  </si>
  <si>
    <t>(can combo with DRO) 1-Liter method is needed for DW or at client request</t>
  </si>
  <si>
    <t>Residual Range Organics (RRO) Low Volume</t>
  </si>
  <si>
    <t>Diesel Range Organics (DRO) Low Volume</t>
  </si>
  <si>
    <t>25 ml for metals;
200 ml for other analyses</t>
  </si>
  <si>
    <t>1x125 mL HDPE for metals;
1x500 ml HDPE for other analyses</t>
  </si>
  <si>
    <t>EPA 625M</t>
  </si>
  <si>
    <t>SW 1311/8260D</t>
  </si>
  <si>
    <t>EPA 1664B SG</t>
  </si>
  <si>
    <t>(Ref Lab)If samples for metals are not acid preserved they must be received by the lab within 14 days of sampling</t>
  </si>
  <si>
    <t>SW 8260D</t>
  </si>
  <si>
    <t>PO#:</t>
  </si>
  <si>
    <t>Should be field filtered. If filtered in Lab it will be unpreserved</t>
  </si>
  <si>
    <t>Kenai Watershed Forum</t>
  </si>
  <si>
    <t>Benjamin Meyer</t>
  </si>
  <si>
    <t>ben@kenaiwatershed.org</t>
  </si>
  <si>
    <t>W</t>
  </si>
  <si>
    <t>Total Metals (200.7)</t>
  </si>
  <si>
    <t>Dissolved Metals (200.8)</t>
  </si>
  <si>
    <t>Mail</t>
  </si>
  <si>
    <t>44129 Sterling Hwy</t>
  </si>
  <si>
    <t>Soldotna, AK 99669</t>
  </si>
  <si>
    <t>Roughly split into 7 separate coolers.</t>
  </si>
  <si>
    <t>RM 0 - No Name Creek</t>
  </si>
  <si>
    <t>RM 1.5 - Kenai City Dock</t>
  </si>
  <si>
    <t>RM 10 - Beaver Creek</t>
  </si>
  <si>
    <t>RM 10.1 - Kenai River</t>
  </si>
  <si>
    <t>RM 12.5 - Pillars</t>
  </si>
  <si>
    <t>RM 18 - Poacher's Cove</t>
  </si>
  <si>
    <t>RM 19 - Slikok Creek</t>
  </si>
  <si>
    <t>RM 21 - Soldotna Bridge</t>
  </si>
  <si>
    <t>RM 1.5 - Kenai City Dock - DUP</t>
  </si>
  <si>
    <t>x</t>
  </si>
  <si>
    <t>Kenai River Baseline Water Quality Monitoring</t>
  </si>
  <si>
    <t>907-232-0280</t>
  </si>
  <si>
    <t>Please include Electronic Data Delivery files.</t>
  </si>
  <si>
    <t>RM 6.5 - Cunningham Park</t>
  </si>
  <si>
    <t>Total NO3/NO2(SM21 4500NO3-F), Total P(SM4500)</t>
  </si>
  <si>
    <t>NONE</t>
  </si>
  <si>
    <t>Page  __1__ of _3__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</si>
</sst>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mmm\ d\,\ yyyy;@"/>
  </numFmts>
  <fonts count="10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Kartika"/>
      <family val="1"/>
    </font>
    <font>
      <sz val="12"/>
      <name val="Kartika"/>
      <family val="1"/>
    </font>
    <font>
      <b/>
      <sz val="12"/>
      <name val="Kartika"/>
      <family val="1"/>
    </font>
    <font>
      <sz val="10"/>
      <name val="Wingdings"/>
      <charset val="2"/>
    </font>
    <font>
      <u/>
      <sz val="10"/>
      <color indexed="12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b/>
      <sz val="12"/>
      <name val="Kartika"/>
      <family val="1"/>
    </font>
    <font>
      <b/>
      <sz val="17"/>
      <name val="Arial"/>
      <family val="2"/>
    </font>
    <font>
      <sz val="17"/>
      <name val="Arial"/>
      <family val="2"/>
    </font>
    <font>
      <sz val="26"/>
      <name val="Arial"/>
      <family val="2"/>
    </font>
    <font>
      <b/>
      <sz val="14"/>
      <name val="Kartika"/>
      <family val="1"/>
    </font>
    <font>
      <b/>
      <sz val="10"/>
      <name val="Arial"/>
      <family val="2"/>
    </font>
    <font>
      <b/>
      <sz val="7"/>
      <name val="Arial"/>
      <family val="2"/>
    </font>
    <font>
      <b/>
      <u/>
      <sz val="10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4"/>
      <color indexed="53"/>
      <name val="Arial"/>
      <family val="2"/>
    </font>
    <font>
      <b/>
      <sz val="8"/>
      <color indexed="53"/>
      <name val="Arial"/>
      <family val="2"/>
    </font>
    <font>
      <b/>
      <sz val="9"/>
      <name val="Arial"/>
      <family val="2"/>
    </font>
    <font>
      <b/>
      <sz val="10"/>
      <name val="Kartika"/>
      <family val="1"/>
    </font>
    <font>
      <b/>
      <sz val="8"/>
      <name val="Kartika"/>
      <family val="1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16"/>
      <name val="Arial"/>
      <family val="2"/>
    </font>
    <font>
      <b/>
      <sz val="13"/>
      <name val="Arial"/>
      <family val="2"/>
    </font>
    <font>
      <i/>
      <sz val="14"/>
      <name val="Arial"/>
      <family val="2"/>
    </font>
    <font>
      <sz val="14"/>
      <color indexed="22"/>
      <name val="Arial"/>
      <family val="2"/>
    </font>
    <font>
      <b/>
      <sz val="20"/>
      <color indexed="63"/>
      <name val="Arial"/>
      <family val="2"/>
    </font>
    <font>
      <b/>
      <sz val="16"/>
      <color indexed="53"/>
      <name val="Arial"/>
      <family val="2"/>
    </font>
    <font>
      <b/>
      <sz val="14"/>
      <color theme="9" tint="-0.249977111117893"/>
      <name val="Arial"/>
      <family val="2"/>
    </font>
    <font>
      <b/>
      <u/>
      <sz val="22"/>
      <name val="Arial"/>
      <family val="2"/>
    </font>
    <font>
      <i/>
      <sz val="10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b/>
      <i/>
      <sz val="12"/>
      <name val="Arial"/>
      <family val="2"/>
    </font>
    <font>
      <b/>
      <sz val="14"/>
      <color rgb="FFFF0000"/>
      <name val="Arial"/>
      <family val="2"/>
    </font>
    <font>
      <b/>
      <sz val="10"/>
      <color rgb="FFFF0000"/>
      <name val="Arial"/>
      <family val="2"/>
    </font>
    <font>
      <u/>
      <sz val="12"/>
      <color indexed="12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9"/>
      <name val="Wingdings"/>
      <charset val="2"/>
    </font>
    <font>
      <sz val="12"/>
      <name val="Wingdings"/>
      <charset val="2"/>
    </font>
    <font>
      <b/>
      <i/>
      <sz val="10"/>
      <name val="Arial"/>
      <family val="2"/>
    </font>
    <font>
      <b/>
      <sz val="8"/>
      <name val="Wingdings"/>
      <charset val="2"/>
    </font>
    <font>
      <vertAlign val="subscript"/>
      <sz val="8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u/>
      <sz val="11"/>
      <color theme="1"/>
      <name val="Arial"/>
      <family val="2"/>
    </font>
    <font>
      <sz val="14"/>
      <color theme="1"/>
      <name val="Arial"/>
      <family val="2"/>
    </font>
    <font>
      <b/>
      <u/>
      <sz val="9.5"/>
      <color theme="1"/>
      <name val="Arial"/>
      <family val="2"/>
    </font>
    <font>
      <sz val="6.5"/>
      <color theme="1"/>
      <name val="Arial"/>
      <family val="2"/>
    </font>
    <font>
      <b/>
      <sz val="6.5"/>
      <color theme="1"/>
      <name val="Arial"/>
      <family val="2"/>
    </font>
    <font>
      <b/>
      <i/>
      <sz val="8"/>
      <color theme="1"/>
      <name val="Arial"/>
      <family val="2"/>
    </font>
    <font>
      <sz val="9"/>
      <name val="Kartika"/>
      <family val="1"/>
    </font>
    <font>
      <i/>
      <sz val="9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u/>
      <sz val="20"/>
      <name val="Arial"/>
      <family val="2"/>
    </font>
    <font>
      <sz val="20"/>
      <name val="Arial"/>
      <family val="2"/>
    </font>
    <font>
      <b/>
      <u/>
      <sz val="36"/>
      <name val="Arial"/>
      <family val="2"/>
    </font>
    <font>
      <sz val="14"/>
      <name val="IDAutomationHC39M"/>
      <family val="3"/>
    </font>
    <font>
      <sz val="10"/>
      <name val="IDAutomationHC39M"/>
      <family val="3"/>
    </font>
    <font>
      <sz val="28"/>
      <color rgb="FF000000"/>
      <name val="Arial"/>
      <family val="2"/>
    </font>
    <font>
      <b/>
      <sz val="28"/>
      <color rgb="FF363636"/>
      <name val="Arial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000000"/>
      <name val="Arial"/>
      <family val="2"/>
    </font>
    <font>
      <sz val="7"/>
      <name val="Arial"/>
      <family val="2"/>
    </font>
    <font>
      <b/>
      <sz val="14"/>
      <color rgb="FF008000"/>
      <name val="Arial"/>
      <family val="2"/>
    </font>
    <font>
      <b/>
      <sz val="6.5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125">
        <fgColor theme="0" tint="-0.499984740745262"/>
        <bgColor auto="1"/>
      </patternFill>
    </fill>
    <fill>
      <patternFill patternType="gray125">
        <fgColor theme="0" tint="-0.499984740745262"/>
        <bgColor indexed="65"/>
      </patternFill>
    </fill>
    <fill>
      <patternFill patternType="solid">
        <fgColor rgb="FFF2F2F2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</patternFill>
    </fill>
    <fill>
      <patternFill patternType="solid">
        <fgColor rgb="FFBCBCBC"/>
      </patternFill>
    </fill>
  </fills>
  <borders count="10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5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" fillId="0" borderId="0"/>
    <xf numFmtId="0" fontId="1" fillId="0" borderId="0"/>
  </cellStyleXfs>
  <cellXfs count="1580">
    <xf numFmtId="0" fontId="0" fillId="0" borderId="0" xfId="0"/>
    <xf numFmtId="0" fontId="4" fillId="0" borderId="0" xfId="0" applyFont="1" applyBorder="1"/>
    <xf numFmtId="0" fontId="5" fillId="0" borderId="0" xfId="0" applyFont="1" applyBorder="1"/>
    <xf numFmtId="0" fontId="7" fillId="0" borderId="0" xfId="0" applyFont="1" applyBorder="1"/>
    <xf numFmtId="0" fontId="10" fillId="0" borderId="0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3" fillId="0" borderId="0" xfId="0" applyFont="1" applyBorder="1"/>
    <xf numFmtId="0" fontId="15" fillId="0" borderId="2" xfId="0" applyFont="1" applyBorder="1" applyAlignment="1">
      <alignment vertical="center"/>
    </xf>
    <xf numFmtId="0" fontId="11" fillId="0" borderId="0" xfId="0" applyFont="1" applyBorder="1"/>
    <xf numFmtId="0" fontId="15" fillId="0" borderId="0" xfId="0" applyFont="1" applyBorder="1" applyAlignment="1">
      <alignment vertical="center"/>
    </xf>
    <xf numFmtId="0" fontId="11" fillId="0" borderId="0" xfId="0" applyFont="1" applyBorder="1" applyAlignment="1"/>
    <xf numFmtId="0" fontId="17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1" fillId="0" borderId="0" xfId="1" applyFont="1" applyBorder="1" applyAlignment="1" applyProtection="1"/>
    <xf numFmtId="0" fontId="11" fillId="0" borderId="3" xfId="0" applyFont="1" applyBorder="1" applyAlignment="1"/>
    <xf numFmtId="0" fontId="14" fillId="0" borderId="4" xfId="0" applyFont="1" applyBorder="1" applyAlignment="1">
      <alignment horizontal="center"/>
    </xf>
    <xf numFmtId="0" fontId="14" fillId="0" borderId="0" xfId="0" applyFont="1" applyBorder="1"/>
    <xf numFmtId="0" fontId="11" fillId="0" borderId="0" xfId="0" applyFont="1" applyFill="1" applyBorder="1"/>
    <xf numFmtId="0" fontId="11" fillId="0" borderId="5" xfId="0" applyFont="1" applyBorder="1"/>
    <xf numFmtId="0" fontId="11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0" fontId="16" fillId="0" borderId="0" xfId="0" applyFont="1" applyBorder="1"/>
    <xf numFmtId="0" fontId="11" fillId="0" borderId="6" xfId="0" applyFont="1" applyBorder="1"/>
    <xf numFmtId="0" fontId="11" fillId="0" borderId="7" xfId="0" applyFont="1" applyBorder="1"/>
    <xf numFmtId="0" fontId="11" fillId="2" borderId="5" xfId="0" applyFont="1" applyFill="1" applyBorder="1"/>
    <xf numFmtId="0" fontId="11" fillId="2" borderId="8" xfId="0" applyFont="1" applyFill="1" applyBorder="1"/>
    <xf numFmtId="0" fontId="15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3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2" xfId="0" applyFont="1" applyBorder="1"/>
    <xf numFmtId="0" fontId="15" fillId="0" borderId="1" xfId="0" applyFont="1" applyBorder="1" applyAlignment="1"/>
    <xf numFmtId="0" fontId="15" fillId="0" borderId="0" xfId="0" applyFont="1" applyBorder="1"/>
    <xf numFmtId="0" fontId="15" fillId="0" borderId="3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0" xfId="0" applyFont="1" applyBorder="1"/>
    <xf numFmtId="0" fontId="6" fillId="0" borderId="12" xfId="0" applyFont="1" applyBorder="1"/>
    <xf numFmtId="0" fontId="15" fillId="0" borderId="10" xfId="0" applyFont="1" applyBorder="1" applyAlignment="1"/>
    <xf numFmtId="0" fontId="15" fillId="0" borderId="9" xfId="0" applyFont="1" applyBorder="1" applyAlignment="1"/>
    <xf numFmtId="0" fontId="15" fillId="0" borderId="13" xfId="0" applyFont="1" applyBorder="1" applyAlignment="1"/>
    <xf numFmtId="0" fontId="15" fillId="0" borderId="14" xfId="0" applyFont="1" applyBorder="1" applyAlignment="1"/>
    <xf numFmtId="0" fontId="15" fillId="0" borderId="0" xfId="0" applyFont="1" applyBorder="1" applyAlignment="1">
      <alignment vertical="top"/>
    </xf>
    <xf numFmtId="0" fontId="15" fillId="0" borderId="15" xfId="0" applyFont="1" applyBorder="1" applyAlignment="1">
      <alignment vertical="top"/>
    </xf>
    <xf numFmtId="0" fontId="15" fillId="0" borderId="16" xfId="0" applyFont="1" applyBorder="1" applyAlignment="1">
      <alignment vertical="top"/>
    </xf>
    <xf numFmtId="0" fontId="15" fillId="0" borderId="17" xfId="0" applyFont="1" applyBorder="1"/>
    <xf numFmtId="0" fontId="15" fillId="0" borderId="0" xfId="0" applyFont="1" applyFill="1" applyBorder="1"/>
    <xf numFmtId="0" fontId="15" fillId="0" borderId="17" xfId="0" applyFont="1" applyFill="1" applyBorder="1"/>
    <xf numFmtId="0" fontId="15" fillId="0" borderId="18" xfId="0" applyFont="1" applyBorder="1" applyAlignment="1">
      <alignment vertical="top"/>
    </xf>
    <xf numFmtId="0" fontId="15" fillId="0" borderId="19" xfId="0" applyFont="1" applyBorder="1" applyAlignment="1">
      <alignment vertical="top"/>
    </xf>
    <xf numFmtId="0" fontId="15" fillId="0" borderId="20" xfId="0" applyFont="1" applyBorder="1" applyAlignment="1">
      <alignment vertical="top"/>
    </xf>
    <xf numFmtId="0" fontId="15" fillId="0" borderId="18" xfId="0" applyFont="1" applyBorder="1"/>
    <xf numFmtId="0" fontId="15" fillId="0" borderId="21" xfId="0" applyFont="1" applyBorder="1"/>
    <xf numFmtId="0" fontId="15" fillId="0" borderId="18" xfId="0" applyFont="1" applyFill="1" applyBorder="1"/>
    <xf numFmtId="0" fontId="15" fillId="0" borderId="21" xfId="0" applyFont="1" applyFill="1" applyBorder="1"/>
    <xf numFmtId="0" fontId="15" fillId="0" borderId="22" xfId="0" applyFont="1" applyBorder="1"/>
    <xf numFmtId="0" fontId="15" fillId="0" borderId="23" xfId="0" applyFont="1" applyFill="1" applyBorder="1"/>
    <xf numFmtId="0" fontId="15" fillId="0" borderId="24" xfId="0" applyFont="1" applyFill="1" applyBorder="1"/>
    <xf numFmtId="0" fontId="15" fillId="0" borderId="22" xfId="0" applyFont="1" applyFill="1" applyBorder="1"/>
    <xf numFmtId="0" fontId="15" fillId="0" borderId="25" xfId="0" applyFont="1" applyBorder="1"/>
    <xf numFmtId="0" fontId="15" fillId="0" borderId="5" xfId="0" applyFont="1" applyBorder="1"/>
    <xf numFmtId="0" fontId="15" fillId="0" borderId="8" xfId="0" applyFont="1" applyBorder="1"/>
    <xf numFmtId="0" fontId="15" fillId="2" borderId="0" xfId="0" applyFont="1" applyFill="1" applyBorder="1" applyAlignment="1">
      <alignment vertical="top"/>
    </xf>
    <xf numFmtId="0" fontId="15" fillId="2" borderId="0" xfId="0" applyFont="1" applyFill="1" applyBorder="1"/>
    <xf numFmtId="0" fontId="15" fillId="2" borderId="24" xfId="0" applyFont="1" applyFill="1" applyBorder="1"/>
    <xf numFmtId="0" fontId="15" fillId="2" borderId="17" xfId="0" applyFont="1" applyFill="1" applyBorder="1"/>
    <xf numFmtId="0" fontId="15" fillId="0" borderId="6" xfId="0" applyFont="1" applyBorder="1"/>
    <xf numFmtId="0" fontId="15" fillId="0" borderId="7" xfId="0" applyFont="1" applyBorder="1"/>
    <xf numFmtId="0" fontId="15" fillId="2" borderId="5" xfId="0" applyFont="1" applyFill="1" applyBorder="1"/>
    <xf numFmtId="0" fontId="15" fillId="2" borderId="8" xfId="0" applyFont="1" applyFill="1" applyBorder="1"/>
    <xf numFmtId="0" fontId="9" fillId="0" borderId="0" xfId="0" applyFont="1" applyBorder="1" applyAlignment="1">
      <alignment vertical="center"/>
    </xf>
    <xf numFmtId="0" fontId="15" fillId="0" borderId="0" xfId="0" applyFont="1" applyBorder="1" applyAlignment="1">
      <alignment horizontal="right" vertical="center"/>
    </xf>
    <xf numFmtId="0" fontId="15" fillId="0" borderId="0" xfId="0" applyFont="1" applyBorder="1" applyAlignment="1"/>
    <xf numFmtId="0" fontId="18" fillId="0" borderId="0" xfId="0" applyFont="1" applyBorder="1" applyAlignment="1">
      <alignment vertical="center"/>
    </xf>
    <xf numFmtId="0" fontId="15" fillId="0" borderId="26" xfId="0" applyFont="1" applyBorder="1" applyAlignment="1"/>
    <xf numFmtId="0" fontId="14" fillId="0" borderId="27" xfId="0" applyFont="1" applyBorder="1" applyAlignment="1">
      <alignment horizontal="center"/>
    </xf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0" borderId="28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5" fillId="0" borderId="1" xfId="0" applyFont="1" applyBorder="1"/>
    <xf numFmtId="0" fontId="15" fillId="0" borderId="26" xfId="0" applyFont="1" applyBorder="1"/>
    <xf numFmtId="0" fontId="15" fillId="0" borderId="12" xfId="0" applyFont="1" applyBorder="1"/>
    <xf numFmtId="0" fontId="15" fillId="0" borderId="18" xfId="0" applyFont="1" applyBorder="1" applyAlignment="1">
      <alignment vertical="center"/>
    </xf>
    <xf numFmtId="0" fontId="15" fillId="0" borderId="32" xfId="0" applyFont="1" applyBorder="1" applyAlignment="1">
      <alignment horizontal="right" vertical="center"/>
    </xf>
    <xf numFmtId="0" fontId="15" fillId="0" borderId="23" xfId="0" applyFont="1" applyBorder="1" applyAlignment="1"/>
    <xf numFmtId="0" fontId="15" fillId="0" borderId="33" xfId="0" applyFont="1" applyBorder="1"/>
    <xf numFmtId="0" fontId="0" fillId="0" borderId="0" xfId="0" applyAlignment="1">
      <alignment vertical="center"/>
    </xf>
    <xf numFmtId="0" fontId="27" fillId="0" borderId="0" xfId="0" applyFont="1"/>
    <xf numFmtId="0" fontId="28" fillId="0" borderId="0" xfId="0" applyFont="1" applyBorder="1" applyAlignment="1">
      <alignment horizontal="center"/>
    </xf>
    <xf numFmtId="0" fontId="11" fillId="0" borderId="0" xfId="0" applyFont="1"/>
    <xf numFmtId="0" fontId="13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 applyBorder="1" applyAlignment="1">
      <alignment horizontal="right" vertical="center"/>
    </xf>
    <xf numFmtId="0" fontId="32" fillId="0" borderId="0" xfId="0" applyFont="1" applyAlignment="1">
      <alignment horizontal="right"/>
    </xf>
    <xf numFmtId="0" fontId="32" fillId="0" borderId="0" xfId="0" applyFont="1" applyBorder="1" applyAlignment="1">
      <alignment horizontal="right"/>
    </xf>
    <xf numFmtId="0" fontId="4" fillId="0" borderId="43" xfId="0" applyFont="1" applyBorder="1" applyAlignment="1">
      <alignment horizontal="center" textRotation="45"/>
    </xf>
    <xf numFmtId="0" fontId="22" fillId="0" borderId="5" xfId="0" applyFont="1" applyBorder="1" applyAlignment="1">
      <alignment wrapText="1"/>
    </xf>
    <xf numFmtId="0" fontId="21" fillId="0" borderId="5" xfId="0" applyFont="1" applyBorder="1" applyAlignment="1">
      <alignment wrapText="1"/>
    </xf>
    <xf numFmtId="0" fontId="9" fillId="0" borderId="44" xfId="0" applyFont="1" applyBorder="1" applyAlignment="1">
      <alignment horizontal="left" vertical="justify" textRotation="45" wrapText="1"/>
    </xf>
    <xf numFmtId="0" fontId="38" fillId="0" borderId="43" xfId="0" applyFont="1" applyBorder="1" applyAlignment="1">
      <alignment horizontal="center" textRotation="45"/>
    </xf>
    <xf numFmtId="0" fontId="15" fillId="0" borderId="43" xfId="0" applyFont="1" applyBorder="1" applyAlignment="1">
      <alignment horizontal="center" textRotation="45"/>
    </xf>
    <xf numFmtId="0" fontId="15" fillId="0" borderId="44" xfId="0" applyFont="1" applyBorder="1" applyAlignment="1">
      <alignment horizontal="left" vertical="justify" textRotation="45" wrapText="1"/>
    </xf>
    <xf numFmtId="0" fontId="11" fillId="0" borderId="0" xfId="0" applyFont="1" applyBorder="1" applyAlignment="1">
      <alignment vertical="top"/>
    </xf>
    <xf numFmtId="0" fontId="11" fillId="0" borderId="18" xfId="0" applyFont="1" applyBorder="1" applyAlignment="1">
      <alignment vertical="top"/>
    </xf>
    <xf numFmtId="0" fontId="12" fillId="0" borderId="5" xfId="0" applyFont="1" applyBorder="1" applyAlignment="1">
      <alignment wrapText="1"/>
    </xf>
    <xf numFmtId="14" fontId="30" fillId="0" borderId="18" xfId="0" applyNumberFormat="1" applyFont="1" applyBorder="1" applyAlignment="1">
      <alignment horizontal="left"/>
    </xf>
    <xf numFmtId="0" fontId="39" fillId="0" borderId="10" xfId="0" applyFont="1" applyBorder="1"/>
    <xf numFmtId="0" fontId="0" fillId="0" borderId="0" xfId="0" applyBorder="1"/>
    <xf numFmtId="0" fontId="41" fillId="0" borderId="0" xfId="0" applyFont="1" applyBorder="1" applyAlignment="1">
      <alignment vertical="center"/>
    </xf>
    <xf numFmtId="0" fontId="42" fillId="0" borderId="14" xfId="0" applyFont="1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4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top"/>
    </xf>
    <xf numFmtId="0" fontId="43" fillId="0" borderId="0" xfId="0" applyFont="1" applyBorder="1" applyAlignment="1">
      <alignment horizontal="right"/>
    </xf>
    <xf numFmtId="0" fontId="44" fillId="0" borderId="0" xfId="0" applyFont="1" applyBorder="1"/>
    <xf numFmtId="0" fontId="45" fillId="0" borderId="41" xfId="0" applyFont="1" applyBorder="1" applyAlignment="1">
      <alignment wrapText="1"/>
    </xf>
    <xf numFmtId="0" fontId="44" fillId="0" borderId="0" xfId="0" applyFont="1"/>
    <xf numFmtId="0" fontId="45" fillId="0" borderId="30" xfId="0" applyFont="1" applyBorder="1" applyAlignment="1"/>
    <xf numFmtId="0" fontId="45" fillId="0" borderId="45" xfId="0" applyFont="1" applyBorder="1" applyAlignment="1"/>
    <xf numFmtId="0" fontId="43" fillId="0" borderId="0" xfId="0" applyFont="1" applyAlignment="1">
      <alignment horizontal="right"/>
    </xf>
    <xf numFmtId="0" fontId="43" fillId="0" borderId="0" xfId="0" applyFont="1"/>
    <xf numFmtId="0" fontId="44" fillId="0" borderId="18" xfId="0" applyFont="1" applyBorder="1"/>
    <xf numFmtId="0" fontId="30" fillId="0" borderId="18" xfId="0" applyFont="1" applyBorder="1" applyAlignment="1">
      <alignment horizontal="left"/>
    </xf>
    <xf numFmtId="40" fontId="30" fillId="0" borderId="0" xfId="0" applyNumberFormat="1" applyFont="1" applyBorder="1" applyAlignment="1"/>
    <xf numFmtId="0" fontId="40" fillId="0" borderId="0" xfId="0" applyFont="1"/>
    <xf numFmtId="0" fontId="29" fillId="0" borderId="0" xfId="0" applyFont="1" applyBorder="1" applyAlignment="1">
      <alignment horizontal="right"/>
    </xf>
    <xf numFmtId="0" fontId="46" fillId="0" borderId="0" xfId="0" applyFont="1" applyBorder="1" applyAlignment="1">
      <alignment horizontal="center" vertical="center"/>
    </xf>
    <xf numFmtId="0" fontId="42" fillId="0" borderId="10" xfId="0" applyFont="1" applyBorder="1" applyAlignment="1">
      <alignment horizontal="left" vertical="top" wrapText="1"/>
    </xf>
    <xf numFmtId="0" fontId="30" fillId="0" borderId="18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14" fontId="30" fillId="0" borderId="18" xfId="0" applyNumberFormat="1" applyFont="1" applyBorder="1" applyAlignment="1">
      <alignment horizontal="center"/>
    </xf>
    <xf numFmtId="14" fontId="30" fillId="0" borderId="1" xfId="0" applyNumberFormat="1" applyFont="1" applyBorder="1" applyAlignment="1">
      <alignment horizontal="center"/>
    </xf>
    <xf numFmtId="0" fontId="29" fillId="0" borderId="0" xfId="0" applyFont="1" applyBorder="1" applyAlignment="1"/>
    <xf numFmtId="0" fontId="44" fillId="0" borderId="0" xfId="0" applyFont="1" applyBorder="1" applyAlignment="1">
      <alignment vertical="top"/>
    </xf>
    <xf numFmtId="0" fontId="15" fillId="0" borderId="29" xfId="0" applyFont="1" applyBorder="1" applyAlignment="1">
      <alignment vertical="center"/>
    </xf>
    <xf numFmtId="0" fontId="15" fillId="0" borderId="21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4" xfId="0" applyFont="1" applyBorder="1" applyAlignment="1">
      <alignment vertical="center"/>
    </xf>
    <xf numFmtId="0" fontId="47" fillId="0" borderId="0" xfId="0" applyFont="1" applyProtection="1">
      <protection locked="0"/>
    </xf>
    <xf numFmtId="0" fontId="18" fillId="5" borderId="62" xfId="0" applyFont="1" applyFill="1" applyBorder="1" applyAlignment="1" applyProtection="1">
      <alignment horizontal="left" vertical="top" wrapText="1"/>
      <protection locked="0"/>
    </xf>
    <xf numFmtId="0" fontId="12" fillId="0" borderId="0" xfId="0" applyFont="1" applyProtection="1">
      <protection locked="0"/>
    </xf>
    <xf numFmtId="0" fontId="39" fillId="0" borderId="65" xfId="0" applyFont="1" applyBorder="1" applyAlignment="1">
      <alignment horizontal="center" textRotation="45" wrapText="1"/>
    </xf>
    <xf numFmtId="0" fontId="39" fillId="0" borderId="68" xfId="0" applyFont="1" applyBorder="1" applyAlignment="1">
      <alignment horizontal="center" textRotation="45" wrapText="1"/>
    </xf>
    <xf numFmtId="0" fontId="39" fillId="0" borderId="58" xfId="0" applyFont="1" applyBorder="1" applyAlignment="1">
      <alignment horizontal="center" textRotation="45" wrapText="1"/>
    </xf>
    <xf numFmtId="0" fontId="12" fillId="0" borderId="37" xfId="0" applyFont="1" applyBorder="1" applyAlignment="1">
      <alignment wrapText="1"/>
    </xf>
    <xf numFmtId="0" fontId="12" fillId="0" borderId="19" xfId="0" applyFont="1" applyBorder="1" applyAlignment="1">
      <alignment wrapText="1"/>
    </xf>
    <xf numFmtId="0" fontId="12" fillId="0" borderId="0" xfId="0" applyFont="1"/>
    <xf numFmtId="0" fontId="12" fillId="0" borderId="19" xfId="0" applyFont="1" applyBorder="1" applyAlignment="1">
      <alignment horizontal="left" wrapText="1"/>
    </xf>
    <xf numFmtId="0" fontId="12" fillId="0" borderId="38" xfId="0" applyFont="1" applyBorder="1" applyAlignment="1">
      <alignment wrapText="1"/>
    </xf>
    <xf numFmtId="0" fontId="12" fillId="0" borderId="19" xfId="0" applyFont="1" applyFill="1" applyBorder="1" applyAlignment="1">
      <alignment horizontal="left" wrapText="1"/>
    </xf>
    <xf numFmtId="0" fontId="12" fillId="0" borderId="19" xfId="0" applyFont="1" applyFill="1" applyBorder="1" applyAlignment="1">
      <alignment wrapText="1"/>
    </xf>
    <xf numFmtId="0" fontId="12" fillId="0" borderId="40" xfId="0" applyFont="1" applyBorder="1" applyAlignment="1">
      <alignment wrapText="1"/>
    </xf>
    <xf numFmtId="0" fontId="12" fillId="0" borderId="41" xfId="0" applyFont="1" applyBorder="1" applyAlignment="1">
      <alignment wrapText="1"/>
    </xf>
    <xf numFmtId="0" fontId="12" fillId="0" borderId="41" xfId="0" applyFont="1" applyFill="1" applyBorder="1" applyAlignment="1">
      <alignment wrapText="1"/>
    </xf>
    <xf numFmtId="0" fontId="12" fillId="0" borderId="29" xfId="0" applyFont="1" applyBorder="1" applyAlignment="1">
      <alignment wrapText="1"/>
    </xf>
    <xf numFmtId="0" fontId="12" fillId="0" borderId="4" xfId="0" applyFont="1" applyFill="1" applyBorder="1" applyAlignment="1">
      <alignment horizontal="left" wrapText="1"/>
    </xf>
    <xf numFmtId="0" fontId="12" fillId="0" borderId="29" xfId="0" applyFont="1" applyFill="1" applyBorder="1" applyAlignment="1">
      <alignment horizontal="left" wrapText="1"/>
    </xf>
    <xf numFmtId="0" fontId="12" fillId="0" borderId="29" xfId="0" applyFont="1" applyBorder="1" applyAlignment="1">
      <alignment horizontal="left" wrapText="1"/>
    </xf>
    <xf numFmtId="0" fontId="12" fillId="0" borderId="29" xfId="0" applyFont="1" applyFill="1" applyBorder="1" applyAlignment="1">
      <alignment wrapText="1"/>
    </xf>
    <xf numFmtId="0" fontId="12" fillId="0" borderId="40" xfId="0" applyFont="1" applyFill="1" applyBorder="1" applyAlignment="1">
      <alignment wrapText="1"/>
    </xf>
    <xf numFmtId="0" fontId="12" fillId="0" borderId="4" xfId="0" applyFont="1" applyBorder="1" applyAlignment="1">
      <alignment wrapText="1"/>
    </xf>
    <xf numFmtId="0" fontId="12" fillId="0" borderId="4" xfId="0" applyFont="1" applyBorder="1" applyAlignment="1">
      <alignment horizontal="left" wrapText="1"/>
    </xf>
    <xf numFmtId="0" fontId="12" fillId="0" borderId="39" xfId="0" applyFont="1" applyBorder="1" applyAlignment="1">
      <alignment wrapText="1"/>
    </xf>
    <xf numFmtId="0" fontId="12" fillId="0" borderId="4" xfId="0" applyFont="1" applyFill="1" applyBorder="1" applyAlignment="1">
      <alignment wrapText="1"/>
    </xf>
    <xf numFmtId="0" fontId="12" fillId="3" borderId="4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12" fillId="0" borderId="37" xfId="0" applyFont="1" applyFill="1" applyBorder="1" applyAlignment="1">
      <alignment wrapText="1"/>
    </xf>
    <xf numFmtId="0" fontId="12" fillId="0" borderId="39" xfId="0" applyFont="1" applyFill="1" applyBorder="1" applyAlignment="1">
      <alignment wrapText="1"/>
    </xf>
    <xf numFmtId="0" fontId="49" fillId="0" borderId="42" xfId="0" applyFont="1" applyFill="1" applyBorder="1" applyAlignment="1">
      <alignment wrapText="1"/>
    </xf>
    <xf numFmtId="0" fontId="53" fillId="0" borderId="19" xfId="0" applyFont="1" applyBorder="1" applyAlignment="1">
      <alignment wrapText="1"/>
    </xf>
    <xf numFmtId="0" fontId="53" fillId="0" borderId="29" xfId="0" applyFont="1" applyBorder="1" applyAlignment="1">
      <alignment wrapText="1"/>
    </xf>
    <xf numFmtId="0" fontId="53" fillId="0" borderId="4" xfId="0" applyFont="1" applyBorder="1" applyAlignment="1">
      <alignment wrapText="1"/>
    </xf>
    <xf numFmtId="0" fontId="11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2" fillId="4" borderId="0" xfId="0" applyFont="1" applyFill="1" applyProtection="1">
      <protection locked="0"/>
    </xf>
    <xf numFmtId="0" fontId="55" fillId="0" borderId="0" xfId="0" applyFont="1" applyAlignment="1" applyProtection="1">
      <alignment vertical="top" wrapText="1"/>
      <protection locked="0"/>
    </xf>
    <xf numFmtId="0" fontId="17" fillId="0" borderId="0" xfId="0" applyFont="1" applyBorder="1" applyAlignment="1" applyProtection="1">
      <alignment horizontal="right" vertical="center"/>
      <protection locked="0"/>
    </xf>
    <xf numFmtId="0" fontId="57" fillId="0" borderId="0" xfId="0" applyFont="1" applyBorder="1" applyAlignment="1" applyProtection="1">
      <alignment horizontal="right" vertical="center"/>
      <protection locked="0"/>
    </xf>
    <xf numFmtId="49" fontId="56" fillId="6" borderId="8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right" vertical="center"/>
      <protection locked="0"/>
    </xf>
    <xf numFmtId="0" fontId="59" fillId="0" borderId="0" xfId="0" applyFont="1" applyBorder="1" applyAlignment="1" applyProtection="1">
      <alignment horizontal="right"/>
      <protection locked="0"/>
    </xf>
    <xf numFmtId="0" fontId="14" fillId="0" borderId="0" xfId="0" applyFont="1" applyAlignment="1" applyProtection="1">
      <alignment horizontal="right"/>
      <protection locked="0"/>
    </xf>
    <xf numFmtId="40" fontId="12" fillId="0" borderId="0" xfId="0" applyNumberFormat="1" applyFont="1" applyBorder="1" applyAlignment="1" applyProtection="1">
      <alignment horizontal="lef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12" fillId="0" borderId="49" xfId="0" applyFont="1" applyBorder="1" applyAlignment="1" applyProtection="1">
      <alignment horizontal="center"/>
      <protection locked="0"/>
    </xf>
    <xf numFmtId="40" fontId="13" fillId="0" borderId="0" xfId="0" applyNumberFormat="1" applyFont="1" applyProtection="1">
      <protection locked="0"/>
    </xf>
    <xf numFmtId="0" fontId="14" fillId="0" borderId="0" xfId="0" applyFont="1" applyBorder="1" applyAlignment="1" applyProtection="1">
      <alignment horizontal="right"/>
      <protection locked="0"/>
    </xf>
    <xf numFmtId="0" fontId="13" fillId="4" borderId="0" xfId="0" applyFont="1" applyFill="1" applyProtection="1">
      <protection locked="0"/>
    </xf>
    <xf numFmtId="0" fontId="12" fillId="0" borderId="5" xfId="0" applyFont="1" applyBorder="1" applyAlignment="1" applyProtection="1">
      <alignment horizontal="center"/>
      <protection locked="0"/>
    </xf>
    <xf numFmtId="14" fontId="12" fillId="0" borderId="49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Protection="1">
      <protection locked="0"/>
    </xf>
    <xf numFmtId="0" fontId="11" fillId="0" borderId="0" xfId="0" applyNumberFormat="1" applyFont="1" applyBorder="1" applyProtection="1">
      <protection locked="0"/>
    </xf>
    <xf numFmtId="0" fontId="60" fillId="0" borderId="0" xfId="0" applyFont="1" applyBorder="1" applyProtection="1">
      <protection locked="0"/>
    </xf>
    <xf numFmtId="0" fontId="18" fillId="3" borderId="5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Continuous"/>
      <protection locked="0"/>
    </xf>
    <xf numFmtId="0" fontId="18" fillId="3" borderId="54" xfId="0" applyFont="1" applyFill="1" applyBorder="1" applyAlignment="1" applyProtection="1">
      <alignment horizontal="center"/>
      <protection locked="0"/>
    </xf>
    <xf numFmtId="0" fontId="18" fillId="3" borderId="73" xfId="0" applyFont="1" applyFill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18" fillId="3" borderId="72" xfId="0" applyFont="1" applyFill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49" fontId="1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quotePrefix="1" applyFont="1" applyBorder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14" fillId="4" borderId="0" xfId="0" applyFont="1" applyFill="1" applyProtection="1">
      <protection locked="0"/>
    </xf>
    <xf numFmtId="0" fontId="13" fillId="4" borderId="0" xfId="0" applyFont="1" applyFill="1"/>
    <xf numFmtId="0" fontId="61" fillId="0" borderId="0" xfId="1" applyFont="1" applyBorder="1" applyAlignment="1" applyProtection="1">
      <alignment wrapText="1"/>
      <protection locked="0"/>
    </xf>
    <xf numFmtId="0" fontId="8" fillId="0" borderId="0" xfId="1" applyBorder="1" applyAlignment="1" applyProtection="1">
      <alignment wrapText="1"/>
      <protection locked="0"/>
    </xf>
    <xf numFmtId="0" fontId="47" fillId="0" borderId="0" xfId="0" applyFont="1" applyAlignment="1" applyProtection="1">
      <protection locked="0"/>
    </xf>
    <xf numFmtId="0" fontId="12" fillId="3" borderId="19" xfId="0" applyFont="1" applyFill="1" applyBorder="1" applyAlignment="1">
      <alignment wrapText="1"/>
    </xf>
    <xf numFmtId="0" fontId="12" fillId="4" borderId="19" xfId="0" applyFont="1" applyFill="1" applyBorder="1" applyAlignment="1">
      <alignment wrapText="1"/>
    </xf>
    <xf numFmtId="0" fontId="50" fillId="3" borderId="4" xfId="0" applyFont="1" applyFill="1" applyBorder="1" applyAlignment="1">
      <alignment wrapText="1"/>
    </xf>
    <xf numFmtId="0" fontId="12" fillId="0" borderId="0" xfId="0" applyFont="1" applyBorder="1" applyAlignment="1">
      <alignment wrapText="1"/>
    </xf>
    <xf numFmtId="0" fontId="19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2" fillId="0" borderId="0" xfId="0" applyFont="1" applyAlignment="1">
      <alignment wrapText="1"/>
    </xf>
    <xf numFmtId="3" fontId="49" fillId="0" borderId="19" xfId="0" applyNumberFormat="1" applyFont="1" applyBorder="1" applyAlignment="1">
      <alignment horizontal="left" wrapText="1"/>
    </xf>
    <xf numFmtId="0" fontId="12" fillId="0" borderId="0" xfId="0" applyFont="1" applyFill="1" applyBorder="1" applyAlignment="1">
      <alignment wrapText="1"/>
    </xf>
    <xf numFmtId="0" fontId="12" fillId="0" borderId="38" xfId="0" applyFont="1" applyFill="1" applyBorder="1" applyAlignment="1">
      <alignment wrapText="1"/>
    </xf>
    <xf numFmtId="3" fontId="12" fillId="0" borderId="19" xfId="0" applyNumberFormat="1" applyFont="1" applyBorder="1" applyAlignment="1">
      <alignment horizontal="left" wrapText="1"/>
    </xf>
    <xf numFmtId="0" fontId="12" fillId="4" borderId="19" xfId="0" applyFont="1" applyFill="1" applyBorder="1" applyAlignment="1">
      <alignment horizontal="left" wrapText="1"/>
    </xf>
    <xf numFmtId="0" fontId="12" fillId="4" borderId="38" xfId="0" applyFont="1" applyFill="1" applyBorder="1" applyAlignment="1">
      <alignment wrapText="1"/>
    </xf>
    <xf numFmtId="0" fontId="12" fillId="5" borderId="19" xfId="0" applyFont="1" applyFill="1" applyBorder="1" applyAlignment="1">
      <alignment wrapText="1"/>
    </xf>
    <xf numFmtId="0" fontId="12" fillId="3" borderId="19" xfId="0" applyFont="1" applyFill="1" applyBorder="1" applyAlignment="1">
      <alignment horizontal="left" wrapText="1"/>
    </xf>
    <xf numFmtId="0" fontId="12" fillId="3" borderId="38" xfId="0" applyFont="1" applyFill="1" applyBorder="1" applyAlignment="1">
      <alignment wrapText="1"/>
    </xf>
    <xf numFmtId="0" fontId="49" fillId="0" borderId="38" xfId="0" applyFont="1" applyBorder="1" applyAlignment="1">
      <alignment wrapText="1"/>
    </xf>
    <xf numFmtId="0" fontId="53" fillId="0" borderId="29" xfId="0" applyFont="1" applyFill="1" applyBorder="1" applyAlignment="1">
      <alignment wrapText="1"/>
    </xf>
    <xf numFmtId="0" fontId="12" fillId="0" borderId="18" xfId="0" applyFont="1" applyBorder="1" applyAlignment="1">
      <alignment horizontal="left" wrapText="1"/>
    </xf>
    <xf numFmtId="0" fontId="12" fillId="0" borderId="18" xfId="0" applyFont="1" applyBorder="1" applyAlignment="1">
      <alignment wrapText="1"/>
    </xf>
    <xf numFmtId="0" fontId="12" fillId="0" borderId="21" xfId="0" applyFont="1" applyBorder="1" applyAlignment="1">
      <alignment wrapText="1"/>
    </xf>
    <xf numFmtId="0" fontId="12" fillId="3" borderId="0" xfId="0" applyFont="1" applyFill="1" applyBorder="1" applyAlignment="1">
      <alignment wrapText="1"/>
    </xf>
    <xf numFmtId="0" fontId="12" fillId="3" borderId="4" xfId="0" applyFont="1" applyFill="1" applyBorder="1" applyAlignment="1">
      <alignment horizontal="left" wrapText="1"/>
    </xf>
    <xf numFmtId="0" fontId="12" fillId="0" borderId="0" xfId="0" applyFont="1" applyFill="1" applyAlignment="1">
      <alignment wrapText="1"/>
    </xf>
    <xf numFmtId="0" fontId="57" fillId="0" borderId="34" xfId="0" applyFont="1" applyBorder="1" applyAlignment="1">
      <alignment horizontal="center" vertical="center" wrapText="1"/>
    </xf>
    <xf numFmtId="0" fontId="57" fillId="0" borderId="35" xfId="0" applyFont="1" applyBorder="1" applyAlignment="1">
      <alignment horizontal="center" vertical="center" wrapText="1"/>
    </xf>
    <xf numFmtId="0" fontId="57" fillId="0" borderId="35" xfId="0" applyFont="1" applyFill="1" applyBorder="1" applyAlignment="1">
      <alignment horizontal="center" vertical="center" wrapText="1"/>
    </xf>
    <xf numFmtId="0" fontId="57" fillId="0" borderId="36" xfId="0" applyFont="1" applyBorder="1" applyAlignment="1">
      <alignment horizontal="center" vertical="center" wrapText="1"/>
    </xf>
    <xf numFmtId="164" fontId="28" fillId="0" borderId="49" xfId="0" applyNumberFormat="1" applyFont="1" applyBorder="1" applyAlignment="1" applyProtection="1">
      <alignment horizontal="center"/>
      <protection locked="0"/>
    </xf>
    <xf numFmtId="14" fontId="57" fillId="6" borderId="80" xfId="0" applyNumberFormat="1" applyFont="1" applyFill="1" applyBorder="1" applyAlignment="1" applyProtection="1">
      <alignment horizontal="center" vertical="center"/>
      <protection locked="0"/>
    </xf>
    <xf numFmtId="0" fontId="11" fillId="0" borderId="0" xfId="2"/>
    <xf numFmtId="0" fontId="11" fillId="0" borderId="0" xfId="2" applyBorder="1"/>
    <xf numFmtId="0" fontId="64" fillId="0" borderId="0" xfId="2" applyFont="1"/>
    <xf numFmtId="0" fontId="64" fillId="0" borderId="0" xfId="2" applyFont="1" applyFill="1" applyBorder="1"/>
    <xf numFmtId="0" fontId="65" fillId="0" borderId="8" xfId="2" applyFont="1" applyFill="1" applyBorder="1" applyAlignment="1">
      <alignment horizontal="center"/>
    </xf>
    <xf numFmtId="0" fontId="64" fillId="0" borderId="5" xfId="2" applyFont="1" applyFill="1" applyBorder="1"/>
    <xf numFmtId="0" fontId="65" fillId="0" borderId="5" xfId="2" applyFont="1" applyFill="1" applyBorder="1" applyAlignment="1">
      <alignment horizontal="center"/>
    </xf>
    <xf numFmtId="0" fontId="66" fillId="0" borderId="5" xfId="2" applyFont="1" applyFill="1" applyBorder="1" applyAlignment="1">
      <alignment horizontal="center"/>
    </xf>
    <xf numFmtId="0" fontId="66" fillId="0" borderId="25" xfId="2" applyFont="1" applyFill="1" applyBorder="1" applyAlignment="1">
      <alignment horizontal="center"/>
    </xf>
    <xf numFmtId="0" fontId="64" fillId="0" borderId="0" xfId="2" applyFont="1" applyBorder="1"/>
    <xf numFmtId="0" fontId="65" fillId="0" borderId="21" xfId="2" applyFont="1" applyFill="1" applyBorder="1" applyAlignment="1">
      <alignment horizontal="center"/>
    </xf>
    <xf numFmtId="0" fontId="64" fillId="0" borderId="18" xfId="2" applyFont="1" applyFill="1" applyBorder="1"/>
    <xf numFmtId="0" fontId="65" fillId="0" borderId="18" xfId="2" applyFont="1" applyFill="1" applyBorder="1" applyAlignment="1">
      <alignment horizontal="center"/>
    </xf>
    <xf numFmtId="0" fontId="66" fillId="0" borderId="0" xfId="2" applyFont="1" applyFill="1" applyBorder="1" applyAlignment="1">
      <alignment horizontal="center"/>
    </xf>
    <xf numFmtId="0" fontId="64" fillId="0" borderId="22" xfId="2" applyFont="1" applyFill="1" applyBorder="1"/>
    <xf numFmtId="0" fontId="66" fillId="0" borderId="17" xfId="2" applyFont="1" applyFill="1" applyBorder="1" applyAlignment="1">
      <alignment horizontal="center"/>
    </xf>
    <xf numFmtId="0" fontId="65" fillId="0" borderId="0" xfId="2" applyFont="1" applyFill="1" applyBorder="1" applyAlignment="1">
      <alignment horizontal="center"/>
    </xf>
    <xf numFmtId="0" fontId="3" fillId="0" borderId="17" xfId="2" applyFont="1" applyFill="1" applyBorder="1" applyAlignment="1">
      <alignment horizontal="center"/>
    </xf>
    <xf numFmtId="0" fontId="3" fillId="0" borderId="0" xfId="2" applyFont="1" applyFill="1" applyBorder="1" applyAlignment="1">
      <alignment horizontal="center"/>
    </xf>
    <xf numFmtId="0" fontId="37" fillId="0" borderId="0" xfId="2" applyFont="1" applyFill="1" applyBorder="1"/>
    <xf numFmtId="0" fontId="64" fillId="0" borderId="30" xfId="2" applyFont="1" applyFill="1" applyBorder="1"/>
    <xf numFmtId="0" fontId="64" fillId="0" borderId="1" xfId="2" applyFont="1" applyFill="1" applyBorder="1"/>
    <xf numFmtId="0" fontId="66" fillId="0" borderId="1" xfId="2" applyFont="1" applyFill="1" applyBorder="1" applyAlignment="1">
      <alignment horizontal="center"/>
    </xf>
    <xf numFmtId="0" fontId="37" fillId="0" borderId="28" xfId="2" applyFont="1" applyFill="1" applyBorder="1"/>
    <xf numFmtId="0" fontId="67" fillId="0" borderId="0" xfId="2" applyFont="1" applyBorder="1"/>
    <xf numFmtId="0" fontId="67" fillId="0" borderId="0" xfId="2" applyFont="1" applyFill="1" applyBorder="1"/>
    <xf numFmtId="0" fontId="67" fillId="0" borderId="14" xfId="2" applyFont="1" applyFill="1" applyBorder="1"/>
    <xf numFmtId="0" fontId="67" fillId="0" borderId="10" xfId="2" applyFont="1" applyFill="1" applyBorder="1"/>
    <xf numFmtId="0" fontId="67" fillId="0" borderId="59" xfId="2" applyFont="1" applyFill="1" applyBorder="1"/>
    <xf numFmtId="0" fontId="67" fillId="0" borderId="45" xfId="2" applyFont="1" applyBorder="1"/>
    <xf numFmtId="0" fontId="67" fillId="0" borderId="83" xfId="2" applyFont="1" applyBorder="1"/>
    <xf numFmtId="0" fontId="67" fillId="0" borderId="84" xfId="2" applyFont="1" applyBorder="1"/>
    <xf numFmtId="0" fontId="67" fillId="0" borderId="82" xfId="2" applyFont="1" applyBorder="1"/>
    <xf numFmtId="0" fontId="67" fillId="0" borderId="81" xfId="2" applyFont="1" applyBorder="1"/>
    <xf numFmtId="0" fontId="11" fillId="8" borderId="17" xfId="2" applyFill="1" applyBorder="1"/>
    <xf numFmtId="0" fontId="11" fillId="8" borderId="0" xfId="2" applyFill="1" applyBorder="1"/>
    <xf numFmtId="0" fontId="11" fillId="8" borderId="16" xfId="2" applyFill="1" applyBorder="1"/>
    <xf numFmtId="0" fontId="11" fillId="8" borderId="15" xfId="2" applyFill="1" applyBorder="1"/>
    <xf numFmtId="0" fontId="11" fillId="0" borderId="17" xfId="2" applyBorder="1"/>
    <xf numFmtId="0" fontId="11" fillId="0" borderId="15" xfId="2" applyBorder="1"/>
    <xf numFmtId="0" fontId="11" fillId="0" borderId="16" xfId="2" applyBorder="1"/>
    <xf numFmtId="0" fontId="11" fillId="0" borderId="22" xfId="2" applyBorder="1"/>
    <xf numFmtId="0" fontId="11" fillId="8" borderId="14" xfId="2" applyFill="1" applyBorder="1"/>
    <xf numFmtId="0" fontId="11" fillId="8" borderId="10" xfId="2" applyFill="1" applyBorder="1"/>
    <xf numFmtId="0" fontId="11" fillId="8" borderId="13" xfId="2" applyFill="1" applyBorder="1"/>
    <xf numFmtId="0" fontId="11" fillId="8" borderId="9" xfId="2" applyFill="1" applyBorder="1"/>
    <xf numFmtId="0" fontId="11" fillId="0" borderId="14" xfId="2" applyBorder="1"/>
    <xf numFmtId="0" fontId="11" fillId="0" borderId="10" xfId="2" applyBorder="1"/>
    <xf numFmtId="0" fontId="11" fillId="0" borderId="9" xfId="2" applyBorder="1"/>
    <xf numFmtId="0" fontId="11" fillId="0" borderId="13" xfId="2" applyBorder="1"/>
    <xf numFmtId="0" fontId="11" fillId="0" borderId="59" xfId="2" applyBorder="1"/>
    <xf numFmtId="0" fontId="64" fillId="0" borderId="17" xfId="2" applyFont="1" applyBorder="1"/>
    <xf numFmtId="0" fontId="64" fillId="0" borderId="22" xfId="2" applyFont="1" applyBorder="1"/>
    <xf numFmtId="0" fontId="11" fillId="8" borderId="16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22" xfId="2" applyFill="1" applyBorder="1" applyAlignment="1">
      <alignment horizontal="center"/>
    </xf>
    <xf numFmtId="0" fontId="11" fillId="0" borderId="5" xfId="2" applyBorder="1" applyAlignment="1"/>
    <xf numFmtId="0" fontId="11" fillId="0" borderId="5" xfId="2" applyBorder="1" applyAlignment="1">
      <alignment horizontal="center"/>
    </xf>
    <xf numFmtId="0" fontId="11" fillId="0" borderId="5" xfId="2" applyBorder="1"/>
    <xf numFmtId="0" fontId="11" fillId="0" borderId="7" xfId="2" applyFill="1" applyBorder="1"/>
    <xf numFmtId="0" fontId="11" fillId="0" borderId="5" xfId="2" applyFill="1" applyBorder="1"/>
    <xf numFmtId="0" fontId="11" fillId="0" borderId="25" xfId="2" applyFill="1" applyBorder="1"/>
    <xf numFmtId="0" fontId="11" fillId="0" borderId="13" xfId="2" applyFill="1" applyBorder="1"/>
    <xf numFmtId="0" fontId="11" fillId="0" borderId="10" xfId="2" applyFill="1" applyBorder="1"/>
    <xf numFmtId="0" fontId="11" fillId="0" borderId="59" xfId="2" applyFill="1" applyBorder="1"/>
    <xf numFmtId="0" fontId="67" fillId="0" borderId="59" xfId="2" applyFont="1" applyBorder="1"/>
    <xf numFmtId="0" fontId="11" fillId="0" borderId="0" xfId="2" applyFont="1"/>
    <xf numFmtId="0" fontId="11" fillId="0" borderId="0" xfId="2" applyFont="1" applyBorder="1"/>
    <xf numFmtId="0" fontId="11" fillId="0" borderId="8" xfId="2" applyFont="1" applyBorder="1"/>
    <xf numFmtId="0" fontId="11" fillId="0" borderId="5" xfId="2" applyFont="1" applyBorder="1"/>
    <xf numFmtId="0" fontId="15" fillId="0" borderId="5" xfId="2" applyFont="1" applyBorder="1" applyAlignment="1">
      <alignment horizontal="center"/>
    </xf>
    <xf numFmtId="0" fontId="11" fillId="0" borderId="25" xfId="2" applyFont="1" applyBorder="1"/>
    <xf numFmtId="0" fontId="11" fillId="0" borderId="17" xfId="2" applyFont="1" applyBorder="1"/>
    <xf numFmtId="0" fontId="11" fillId="8" borderId="20" xfId="2" applyFont="1" applyFill="1" applyBorder="1"/>
    <xf numFmtId="0" fontId="11" fillId="8" borderId="18" xfId="2" applyFont="1" applyFill="1" applyBorder="1"/>
    <xf numFmtId="0" fontId="11" fillId="8" borderId="19" xfId="2" applyFont="1" applyFill="1" applyBorder="1"/>
    <xf numFmtId="0" fontId="11" fillId="0" borderId="22" xfId="2" applyFont="1" applyBorder="1"/>
    <xf numFmtId="0" fontId="11" fillId="8" borderId="16" xfId="2" applyFont="1" applyFill="1" applyBorder="1"/>
    <xf numFmtId="0" fontId="11" fillId="8" borderId="0" xfId="2" applyFont="1" applyFill="1" applyBorder="1"/>
    <xf numFmtId="0" fontId="11" fillId="8" borderId="15" xfId="2" applyFont="1" applyFill="1" applyBorder="1"/>
    <xf numFmtId="0" fontId="15" fillId="0" borderId="0" xfId="2" applyFont="1" applyBorder="1" applyAlignment="1">
      <alignment horizontal="center"/>
    </xf>
    <xf numFmtId="0" fontId="15" fillId="0" borderId="0" xfId="2" applyFont="1" applyBorder="1" applyAlignment="1">
      <alignment horizontal="left"/>
    </xf>
    <xf numFmtId="0" fontId="11" fillId="0" borderId="0" xfId="2" applyFont="1" applyBorder="1" applyAlignment="1"/>
    <xf numFmtId="0" fontId="11" fillId="0" borderId="0" xfId="2" applyFont="1" applyAlignment="1"/>
    <xf numFmtId="0" fontId="11" fillId="0" borderId="17" xfId="2" applyFont="1" applyBorder="1" applyAlignment="1"/>
    <xf numFmtId="0" fontId="11" fillId="8" borderId="16" xfId="2" applyFont="1" applyFill="1" applyBorder="1" applyAlignment="1"/>
    <xf numFmtId="0" fontId="11" fillId="8" borderId="0" xfId="2" applyFont="1" applyFill="1" applyBorder="1" applyAlignment="1"/>
    <xf numFmtId="0" fontId="11" fillId="8" borderId="15" xfId="2" applyFont="1" applyFill="1" applyBorder="1" applyAlignment="1"/>
    <xf numFmtId="0" fontId="11" fillId="0" borderId="0" xfId="2" applyFont="1" applyBorder="1" applyAlignment="1">
      <alignment horizontal="center"/>
    </xf>
    <xf numFmtId="0" fontId="11" fillId="8" borderId="61" xfId="2" applyFont="1" applyFill="1" applyBorder="1" applyAlignment="1"/>
    <xf numFmtId="0" fontId="11" fillId="8" borderId="23" xfId="2" applyFont="1" applyFill="1" applyBorder="1" applyAlignment="1"/>
    <xf numFmtId="0" fontId="11" fillId="8" borderId="23" xfId="2" applyFont="1" applyFill="1" applyBorder="1"/>
    <xf numFmtId="0" fontId="11" fillId="8" borderId="60" xfId="2" applyFont="1" applyFill="1" applyBorder="1" applyAlignment="1"/>
    <xf numFmtId="0" fontId="11" fillId="0" borderId="0" xfId="2" applyBorder="1" applyAlignment="1">
      <alignment horizontal="center"/>
    </xf>
    <xf numFmtId="0" fontId="11" fillId="0" borderId="14" xfId="2" applyFont="1" applyBorder="1" applyAlignment="1"/>
    <xf numFmtId="0" fontId="11" fillId="0" borderId="10" xfId="2" applyFont="1" applyBorder="1" applyAlignment="1"/>
    <xf numFmtId="0" fontId="11" fillId="0" borderId="10" xfId="2" applyFont="1" applyBorder="1"/>
    <xf numFmtId="0" fontId="14" fillId="0" borderId="10" xfId="2" applyFont="1" applyBorder="1" applyAlignment="1">
      <alignment horizontal="center"/>
    </xf>
    <xf numFmtId="0" fontId="11" fillId="0" borderId="59" xfId="2" applyFont="1" applyBorder="1"/>
    <xf numFmtId="0" fontId="4" fillId="0" borderId="0" xfId="2" applyFont="1" applyBorder="1"/>
    <xf numFmtId="0" fontId="7" fillId="0" borderId="0" xfId="2" applyFont="1" applyBorder="1"/>
    <xf numFmtId="0" fontId="11" fillId="0" borderId="0" xfId="2" applyFont="1" applyBorder="1" applyAlignment="1">
      <alignment horizontal="right" vertical="center"/>
    </xf>
    <xf numFmtId="0" fontId="11" fillId="0" borderId="0" xfId="2" applyFont="1" applyBorder="1" applyAlignment="1">
      <alignment vertical="center"/>
    </xf>
    <xf numFmtId="0" fontId="3" fillId="0" borderId="0" xfId="2" applyFont="1" applyBorder="1"/>
    <xf numFmtId="0" fontId="15" fillId="0" borderId="0" xfId="2" applyFont="1" applyBorder="1" applyAlignment="1">
      <alignment horizontal="right" vertical="center"/>
    </xf>
    <xf numFmtId="0" fontId="15" fillId="0" borderId="0" xfId="2" applyFont="1" applyBorder="1"/>
    <xf numFmtId="0" fontId="15" fillId="0" borderId="0" xfId="2" applyFont="1" applyBorder="1" applyAlignment="1">
      <alignment vertical="center"/>
    </xf>
    <xf numFmtId="0" fontId="9" fillId="0" borderId="0" xfId="2" applyFont="1" applyBorder="1" applyAlignment="1">
      <alignment vertical="center"/>
    </xf>
    <xf numFmtId="0" fontId="10" fillId="0" borderId="0" xfId="2" applyFont="1" applyBorder="1" applyAlignment="1">
      <alignment vertical="center"/>
    </xf>
    <xf numFmtId="0" fontId="15" fillId="0" borderId="0" xfId="2" applyFont="1" applyFill="1" applyBorder="1"/>
    <xf numFmtId="0" fontId="15" fillId="0" borderId="7" xfId="2" applyFont="1" applyBorder="1"/>
    <xf numFmtId="0" fontId="15" fillId="0" borderId="5" xfId="2" applyFont="1" applyBorder="1"/>
    <xf numFmtId="0" fontId="15" fillId="0" borderId="6" xfId="2" applyFont="1" applyBorder="1"/>
    <xf numFmtId="0" fontId="11" fillId="0" borderId="0" xfId="2" applyFont="1" applyFill="1" applyBorder="1"/>
    <xf numFmtId="0" fontId="15" fillId="0" borderId="16" xfId="2" applyFont="1" applyBorder="1" applyAlignment="1">
      <alignment vertical="top"/>
    </xf>
    <xf numFmtId="0" fontId="15" fillId="0" borderId="0" xfId="2" applyFont="1" applyBorder="1" applyAlignment="1">
      <alignment vertical="top"/>
    </xf>
    <xf numFmtId="0" fontId="15" fillId="0" borderId="15" xfId="2" applyFont="1" applyBorder="1" applyAlignment="1">
      <alignment vertical="top"/>
    </xf>
    <xf numFmtId="0" fontId="15" fillId="0" borderId="21" xfId="2" applyFont="1" applyBorder="1"/>
    <xf numFmtId="0" fontId="15" fillId="0" borderId="18" xfId="2" applyFont="1" applyBorder="1"/>
    <xf numFmtId="0" fontId="15" fillId="0" borderId="18" xfId="2" applyFont="1" applyBorder="1" applyAlignment="1">
      <alignment vertical="top"/>
    </xf>
    <xf numFmtId="0" fontId="15" fillId="0" borderId="20" xfId="2" applyFont="1" applyBorder="1" applyAlignment="1">
      <alignment vertical="top"/>
    </xf>
    <xf numFmtId="0" fontId="15" fillId="0" borderId="19" xfId="2" applyFont="1" applyBorder="1" applyAlignment="1">
      <alignment vertical="top"/>
    </xf>
    <xf numFmtId="0" fontId="15" fillId="0" borderId="17" xfId="2" applyFont="1" applyBorder="1"/>
    <xf numFmtId="0" fontId="15" fillId="0" borderId="24" xfId="2" applyFont="1" applyFill="1" applyBorder="1"/>
    <xf numFmtId="0" fontId="15" fillId="0" borderId="23" xfId="2" applyFont="1" applyFill="1" applyBorder="1"/>
    <xf numFmtId="0" fontId="15" fillId="0" borderId="22" xfId="2" applyFont="1" applyBorder="1"/>
    <xf numFmtId="0" fontId="15" fillId="0" borderId="14" xfId="2" applyFont="1" applyBorder="1" applyAlignment="1"/>
    <xf numFmtId="0" fontId="15" fillId="0" borderId="10" xfId="2" applyFont="1" applyBorder="1" applyAlignment="1"/>
    <xf numFmtId="0" fontId="15" fillId="0" borderId="13" xfId="2" applyFont="1" applyBorder="1" applyAlignment="1"/>
    <xf numFmtId="0" fontId="15" fillId="0" borderId="9" xfId="2" applyFont="1" applyBorder="1" applyAlignment="1"/>
    <xf numFmtId="0" fontId="13" fillId="0" borderId="0" xfId="2" applyFont="1" applyBorder="1"/>
    <xf numFmtId="0" fontId="15" fillId="0" borderId="56" xfId="2" applyFont="1" applyBorder="1" applyAlignment="1">
      <alignment vertical="center"/>
    </xf>
    <xf numFmtId="0" fontId="15" fillId="0" borderId="81" xfId="2" applyFont="1" applyBorder="1" applyAlignment="1">
      <alignment vertical="center"/>
    </xf>
    <xf numFmtId="0" fontId="15" fillId="0" borderId="27" xfId="2" applyFont="1" applyBorder="1" applyAlignment="1">
      <alignment vertical="center"/>
    </xf>
    <xf numFmtId="0" fontId="15" fillId="0" borderId="4" xfId="2" applyFont="1" applyBorder="1" applyAlignment="1">
      <alignment vertical="center"/>
    </xf>
    <xf numFmtId="0" fontId="15" fillId="0" borderId="28" xfId="2" applyFont="1" applyBorder="1" applyAlignment="1">
      <alignment vertical="center"/>
    </xf>
    <xf numFmtId="0" fontId="15" fillId="0" borderId="48" xfId="2" applyFont="1" applyBorder="1" applyAlignment="1">
      <alignment vertical="center"/>
    </xf>
    <xf numFmtId="0" fontId="14" fillId="0" borderId="0" xfId="2" applyFont="1" applyBorder="1"/>
    <xf numFmtId="0" fontId="15" fillId="0" borderId="46" xfId="2" applyFont="1" applyBorder="1" applyAlignment="1">
      <alignment vertical="center"/>
    </xf>
    <xf numFmtId="0" fontId="15" fillId="0" borderId="43" xfId="2" applyFont="1" applyBorder="1" applyAlignment="1">
      <alignment vertical="center"/>
    </xf>
    <xf numFmtId="0" fontId="15" fillId="0" borderId="64" xfId="2" applyFont="1" applyBorder="1" applyAlignment="1">
      <alignment vertical="center"/>
    </xf>
    <xf numFmtId="0" fontId="5" fillId="0" borderId="0" xfId="2" applyFont="1" applyBorder="1"/>
    <xf numFmtId="0" fontId="6" fillId="0" borderId="0" xfId="2" applyFont="1" applyBorder="1" applyAlignment="1">
      <alignment horizontal="center"/>
    </xf>
    <xf numFmtId="0" fontId="15" fillId="0" borderId="5" xfId="2" applyFont="1" applyBorder="1" applyAlignment="1">
      <alignment horizontal="left" vertical="top"/>
    </xf>
    <xf numFmtId="0" fontId="15" fillId="0" borderId="0" xfId="2" applyFont="1" applyBorder="1" applyAlignment="1">
      <alignment horizontal="left" vertical="top"/>
    </xf>
    <xf numFmtId="0" fontId="15" fillId="0" borderId="24" xfId="2" applyFont="1" applyBorder="1" applyAlignment="1"/>
    <xf numFmtId="0" fontId="15" fillId="0" borderId="23" xfId="2" applyFont="1" applyBorder="1" applyAlignment="1"/>
    <xf numFmtId="0" fontId="15" fillId="0" borderId="1" xfId="2" applyFont="1" applyBorder="1" applyAlignment="1"/>
    <xf numFmtId="0" fontId="15" fillId="0" borderId="1" xfId="2" applyFont="1" applyBorder="1" applyAlignment="1">
      <alignment vertical="top"/>
    </xf>
    <xf numFmtId="0" fontId="11" fillId="0" borderId="1" xfId="2" applyBorder="1" applyAlignment="1"/>
    <xf numFmtId="0" fontId="15" fillId="0" borderId="48" xfId="2" applyFont="1" applyBorder="1" applyAlignment="1">
      <alignment horizontal="left" vertical="top"/>
    </xf>
    <xf numFmtId="0" fontId="15" fillId="0" borderId="47" xfId="2" applyFont="1" applyBorder="1" applyAlignment="1">
      <alignment vertical="top"/>
    </xf>
    <xf numFmtId="0" fontId="15" fillId="0" borderId="46" xfId="2" applyFont="1" applyBorder="1" applyAlignment="1">
      <alignment vertical="top"/>
    </xf>
    <xf numFmtId="0" fontId="11" fillId="0" borderId="3" xfId="2" applyFont="1" applyBorder="1" applyAlignment="1"/>
    <xf numFmtId="0" fontId="18" fillId="0" borderId="0" xfId="2" applyFont="1" applyBorder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8" fillId="0" borderId="0" xfId="2" applyFont="1" applyBorder="1" applyAlignment="1">
      <alignment vertical="center"/>
    </xf>
    <xf numFmtId="0" fontId="12" fillId="0" borderId="0" xfId="2" applyFont="1" applyBorder="1" applyAlignment="1">
      <alignment vertical="center"/>
    </xf>
    <xf numFmtId="0" fontId="17" fillId="0" borderId="0" xfId="2" applyFont="1" applyBorder="1" applyAlignment="1">
      <alignment vertical="center"/>
    </xf>
    <xf numFmtId="0" fontId="11" fillId="0" borderId="64" xfId="2" applyFont="1" applyBorder="1" applyAlignment="1">
      <alignment vertical="top"/>
    </xf>
    <xf numFmtId="0" fontId="11" fillId="0" borderId="47" xfId="2" applyBorder="1" applyAlignment="1">
      <alignment vertical="top"/>
    </xf>
    <xf numFmtId="0" fontId="11" fillId="0" borderId="47" xfId="2" applyFont="1" applyBorder="1" applyAlignment="1">
      <alignment vertical="top"/>
    </xf>
    <xf numFmtId="0" fontId="11" fillId="0" borderId="28" xfId="2" applyBorder="1" applyAlignment="1">
      <alignment vertical="top"/>
    </xf>
    <xf numFmtId="0" fontId="11" fillId="0" borderId="1" xfId="2" applyBorder="1" applyAlignment="1">
      <alignment vertical="top"/>
    </xf>
    <xf numFmtId="0" fontId="11" fillId="0" borderId="31" xfId="2" applyBorder="1" applyAlignment="1">
      <alignment vertical="top"/>
    </xf>
    <xf numFmtId="0" fontId="11" fillId="0" borderId="23" xfId="2" applyBorder="1" applyAlignment="1">
      <alignment vertical="top"/>
    </xf>
    <xf numFmtId="0" fontId="15" fillId="7" borderId="4" xfId="2" applyFont="1" applyFill="1" applyBorder="1" applyAlignment="1">
      <alignment vertical="top"/>
    </xf>
    <xf numFmtId="0" fontId="70" fillId="0" borderId="0" xfId="3" applyFont="1"/>
    <xf numFmtId="0" fontId="72" fillId="0" borderId="55" xfId="3" applyFont="1" applyBorder="1" applyAlignment="1">
      <alignment horizontal="right"/>
    </xf>
    <xf numFmtId="0" fontId="72" fillId="0" borderId="39" xfId="3" applyFont="1" applyBorder="1" applyAlignment="1">
      <alignment horizontal="right"/>
    </xf>
    <xf numFmtId="0" fontId="70" fillId="0" borderId="4" xfId="3" applyFont="1" applyBorder="1"/>
    <xf numFmtId="0" fontId="70" fillId="0" borderId="38" xfId="3" applyFont="1" applyBorder="1"/>
    <xf numFmtId="0" fontId="74" fillId="0" borderId="4" xfId="3" applyFont="1" applyBorder="1"/>
    <xf numFmtId="0" fontId="70" fillId="0" borderId="39" xfId="3" applyFont="1" applyBorder="1"/>
    <xf numFmtId="0" fontId="72" fillId="0" borderId="8" xfId="3" applyFont="1" applyBorder="1"/>
    <xf numFmtId="0" fontId="70" fillId="0" borderId="5" xfId="3" applyFont="1" applyBorder="1"/>
    <xf numFmtId="0" fontId="72" fillId="0" borderId="5" xfId="3" applyFont="1" applyBorder="1"/>
    <xf numFmtId="0" fontId="70" fillId="0" borderId="25" xfId="3" applyFont="1" applyBorder="1"/>
    <xf numFmtId="0" fontId="70" fillId="0" borderId="8" xfId="3" applyFont="1" applyBorder="1"/>
    <xf numFmtId="0" fontId="2" fillId="0" borderId="0" xfId="3" applyFont="1"/>
    <xf numFmtId="0" fontId="70" fillId="0" borderId="0" xfId="3" applyFont="1" applyBorder="1"/>
    <xf numFmtId="0" fontId="70" fillId="0" borderId="22" xfId="3" applyFont="1" applyBorder="1"/>
    <xf numFmtId="0" fontId="70" fillId="0" borderId="17" xfId="3" applyFont="1" applyBorder="1"/>
    <xf numFmtId="0" fontId="70" fillId="0" borderId="22" xfId="3" applyFont="1" applyBorder="1" applyAlignment="1">
      <alignment horizontal="right"/>
    </xf>
    <xf numFmtId="0" fontId="70" fillId="0" borderId="59" xfId="3" applyFont="1" applyBorder="1" applyAlignment="1">
      <alignment horizontal="right"/>
    </xf>
    <xf numFmtId="0" fontId="63" fillId="0" borderId="5" xfId="3" applyFont="1" applyBorder="1"/>
    <xf numFmtId="0" fontId="63" fillId="0" borderId="5" xfId="3" applyFont="1" applyBorder="1" applyAlignment="1">
      <alignment horizontal="center"/>
    </xf>
    <xf numFmtId="0" fontId="63" fillId="0" borderId="0" xfId="3" applyFont="1" applyFill="1" applyBorder="1"/>
    <xf numFmtId="0" fontId="63" fillId="7" borderId="80" xfId="3" applyFont="1" applyFill="1" applyBorder="1" applyAlignment="1">
      <alignment horizontal="center"/>
    </xf>
    <xf numFmtId="0" fontId="76" fillId="0" borderId="81" xfId="3" applyFont="1" applyBorder="1" applyAlignment="1">
      <alignment horizontal="right"/>
    </xf>
    <xf numFmtId="0" fontId="81" fillId="7" borderId="102" xfId="3" applyFont="1" applyFill="1" applyBorder="1" applyAlignment="1">
      <alignment horizontal="left"/>
    </xf>
    <xf numFmtId="0" fontId="76" fillId="0" borderId="4" xfId="3" applyFont="1" applyBorder="1" applyAlignment="1">
      <alignment horizontal="right"/>
    </xf>
    <xf numFmtId="0" fontId="82" fillId="0" borderId="1" xfId="3" applyFont="1" applyBorder="1" applyAlignment="1">
      <alignment horizontal="left"/>
    </xf>
    <xf numFmtId="0" fontId="76" fillId="0" borderId="57" xfId="3" applyFont="1" applyBorder="1" applyAlignment="1">
      <alignment horizontal="right"/>
    </xf>
    <xf numFmtId="0" fontId="76" fillId="0" borderId="48" xfId="3" applyFont="1" applyBorder="1" applyAlignment="1">
      <alignment horizontal="right"/>
    </xf>
    <xf numFmtId="0" fontId="82" fillId="0" borderId="1" xfId="3" applyFont="1" applyBorder="1" applyAlignment="1"/>
    <xf numFmtId="0" fontId="76" fillId="0" borderId="4" xfId="3" applyFont="1" applyFill="1" applyBorder="1" applyAlignment="1">
      <alignment horizontal="right"/>
    </xf>
    <xf numFmtId="0" fontId="12" fillId="0" borderId="20" xfId="0" applyFont="1" applyBorder="1" applyAlignment="1">
      <alignment wrapText="1"/>
    </xf>
    <xf numFmtId="0" fontId="12" fillId="0" borderId="40" xfId="0" applyFont="1" applyBorder="1" applyAlignment="1">
      <alignment horizontal="left" wrapText="1"/>
    </xf>
    <xf numFmtId="16" fontId="12" fillId="0" borderId="29" xfId="0" applyNumberFormat="1" applyFont="1" applyBorder="1" applyAlignment="1">
      <alignment wrapText="1"/>
    </xf>
    <xf numFmtId="0" fontId="15" fillId="10" borderId="0" xfId="0" applyFont="1" applyFill="1" applyBorder="1" applyAlignment="1">
      <alignment vertical="top"/>
    </xf>
    <xf numFmtId="0" fontId="15" fillId="10" borderId="0" xfId="0" applyFont="1" applyFill="1" applyBorder="1"/>
    <xf numFmtId="0" fontId="15" fillId="10" borderId="24" xfId="0" applyFont="1" applyFill="1" applyBorder="1"/>
    <xf numFmtId="0" fontId="15" fillId="10" borderId="17" xfId="0" applyFont="1" applyFill="1" applyBorder="1"/>
    <xf numFmtId="0" fontId="15" fillId="10" borderId="5" xfId="0" applyFont="1" applyFill="1" applyBorder="1"/>
    <xf numFmtId="0" fontId="15" fillId="10" borderId="8" xfId="0" applyFont="1" applyFill="1" applyBorder="1"/>
    <xf numFmtId="0" fontId="15" fillId="10" borderId="0" xfId="2" applyFont="1" applyFill="1" applyBorder="1" applyAlignment="1">
      <alignment vertical="top"/>
    </xf>
    <xf numFmtId="0" fontId="15" fillId="10" borderId="0" xfId="2" applyFont="1" applyFill="1" applyBorder="1"/>
    <xf numFmtId="0" fontId="15" fillId="10" borderId="24" xfId="2" applyFont="1" applyFill="1" applyBorder="1"/>
    <xf numFmtId="0" fontId="15" fillId="10" borderId="17" xfId="2" applyFont="1" applyFill="1" applyBorder="1"/>
    <xf numFmtId="0" fontId="15" fillId="10" borderId="5" xfId="2" applyFont="1" applyFill="1" applyBorder="1"/>
    <xf numFmtId="0" fontId="15" fillId="10" borderId="8" xfId="2" applyFont="1" applyFill="1" applyBorder="1"/>
    <xf numFmtId="0" fontId="66" fillId="0" borderId="0" xfId="2" applyFont="1" applyFill="1" applyBorder="1" applyAlignment="1">
      <alignment vertical="center"/>
    </xf>
    <xf numFmtId="0" fontId="11" fillId="0" borderId="59" xfId="2" applyFont="1" applyFill="1" applyBorder="1"/>
    <xf numFmtId="0" fontId="11" fillId="0" borderId="10" xfId="2" applyFont="1" applyFill="1" applyBorder="1" applyAlignment="1"/>
    <xf numFmtId="0" fontId="14" fillId="0" borderId="10" xfId="2" applyFont="1" applyFill="1" applyBorder="1" applyAlignment="1">
      <alignment horizontal="center"/>
    </xf>
    <xf numFmtId="0" fontId="11" fillId="0" borderId="10" xfId="2" applyFont="1" applyFill="1" applyBorder="1"/>
    <xf numFmtId="0" fontId="11" fillId="0" borderId="14" xfId="2" applyFont="1" applyFill="1" applyBorder="1" applyAlignment="1"/>
    <xf numFmtId="0" fontId="11" fillId="0" borderId="0" xfId="2" applyFont="1" applyFill="1" applyBorder="1" applyAlignment="1"/>
    <xf numFmtId="0" fontId="11" fillId="0" borderId="22" xfId="2" applyFont="1" applyFill="1" applyBorder="1"/>
    <xf numFmtId="0" fontId="11" fillId="0" borderId="0" xfId="2" applyFont="1" applyFill="1" applyBorder="1" applyAlignment="1">
      <alignment horizontal="center"/>
    </xf>
    <xf numFmtId="0" fontId="11" fillId="11" borderId="60" xfId="2" applyFont="1" applyFill="1" applyBorder="1" applyAlignment="1"/>
    <xf numFmtId="0" fontId="11" fillId="11" borderId="23" xfId="2" applyFont="1" applyFill="1" applyBorder="1" applyAlignment="1"/>
    <xf numFmtId="0" fontId="11" fillId="11" borderId="23" xfId="2" applyFont="1" applyFill="1" applyBorder="1"/>
    <xf numFmtId="0" fontId="11" fillId="11" borderId="61" xfId="2" applyFont="1" applyFill="1" applyBorder="1" applyAlignment="1"/>
    <xf numFmtId="0" fontId="11" fillId="0" borderId="17" xfId="2" applyFont="1" applyFill="1" applyBorder="1" applyAlignment="1"/>
    <xf numFmtId="0" fontId="11" fillId="11" borderId="15" xfId="2" applyFont="1" applyFill="1" applyBorder="1" applyAlignment="1"/>
    <xf numFmtId="0" fontId="11" fillId="11" borderId="0" xfId="2" applyFont="1" applyFill="1" applyBorder="1" applyAlignment="1"/>
    <xf numFmtId="0" fontId="11" fillId="11" borderId="0" xfId="2" applyFont="1" applyFill="1" applyBorder="1"/>
    <xf numFmtId="0" fontId="11" fillId="11" borderId="16" xfId="2" applyFont="1" applyFill="1" applyBorder="1" applyAlignment="1"/>
    <xf numFmtId="0" fontId="11" fillId="11" borderId="15" xfId="2" applyFont="1" applyFill="1" applyBorder="1"/>
    <xf numFmtId="0" fontId="11" fillId="11" borderId="16" xfId="2" applyFont="1" applyFill="1" applyBorder="1"/>
    <xf numFmtId="0" fontId="11" fillId="0" borderId="17" xfId="2" applyFont="1" applyFill="1" applyBorder="1"/>
    <xf numFmtId="0" fontId="11" fillId="11" borderId="19" xfId="2" applyFont="1" applyFill="1" applyBorder="1"/>
    <xf numFmtId="0" fontId="11" fillId="11" borderId="18" xfId="2" applyFont="1" applyFill="1" applyBorder="1"/>
    <xf numFmtId="0" fontId="11" fillId="11" borderId="20" xfId="2" applyFont="1" applyFill="1" applyBorder="1"/>
    <xf numFmtId="0" fontId="67" fillId="0" borderId="48" xfId="2" applyFont="1" applyFill="1" applyBorder="1"/>
    <xf numFmtId="0" fontId="11" fillId="0" borderId="1" xfId="2" applyFont="1" applyFill="1" applyBorder="1"/>
    <xf numFmtId="0" fontId="11" fillId="0" borderId="23" xfId="2" applyFont="1" applyFill="1" applyBorder="1"/>
    <xf numFmtId="0" fontId="9" fillId="13" borderId="39" xfId="0" applyFont="1" applyFill="1" applyBorder="1" applyAlignment="1">
      <alignment horizontal="center" vertical="center" wrapText="1"/>
    </xf>
    <xf numFmtId="0" fontId="11" fillId="0" borderId="39" xfId="0" applyFont="1" applyFill="1" applyBorder="1" applyAlignment="1"/>
    <xf numFmtId="0" fontId="11" fillId="0" borderId="55" xfId="0" applyFont="1" applyFill="1" applyBorder="1" applyAlignment="1"/>
    <xf numFmtId="0" fontId="67" fillId="0" borderId="28" xfId="2" applyFont="1" applyFill="1" applyBorder="1"/>
    <xf numFmtId="0" fontId="11" fillId="0" borderId="18" xfId="2" applyFont="1" applyFill="1" applyBorder="1"/>
    <xf numFmtId="0" fontId="11" fillId="11" borderId="22" xfId="2" applyFont="1" applyFill="1" applyBorder="1" applyAlignment="1">
      <alignment horizontal="center"/>
    </xf>
    <xf numFmtId="0" fontId="11" fillId="11" borderId="0" xfId="2" applyFont="1" applyFill="1" applyBorder="1" applyAlignment="1">
      <alignment horizontal="center"/>
    </xf>
    <xf numFmtId="0" fontId="11" fillId="11" borderId="16" xfId="2" applyFont="1" applyFill="1" applyBorder="1" applyAlignment="1">
      <alignment horizontal="center"/>
    </xf>
    <xf numFmtId="0" fontId="11" fillId="11" borderId="31" xfId="2" applyFont="1" applyFill="1" applyBorder="1" applyAlignment="1">
      <alignment horizontal="center"/>
    </xf>
    <xf numFmtId="0" fontId="11" fillId="11" borderId="23" xfId="2" applyFont="1" applyFill="1" applyBorder="1" applyAlignment="1">
      <alignment horizontal="center"/>
    </xf>
    <xf numFmtId="0" fontId="11" fillId="11" borderId="61" xfId="2" applyFont="1" applyFill="1" applyBorder="1" applyAlignment="1">
      <alignment horizontal="center"/>
    </xf>
    <xf numFmtId="0" fontId="11" fillId="11" borderId="37" xfId="2" applyFont="1" applyFill="1" applyBorder="1" applyAlignment="1">
      <alignment horizontal="center"/>
    </xf>
    <xf numFmtId="0" fontId="11" fillId="11" borderId="18" xfId="2" applyFont="1" applyFill="1" applyBorder="1" applyAlignment="1">
      <alignment horizontal="center"/>
    </xf>
    <xf numFmtId="0" fontId="11" fillId="11" borderId="20" xfId="2" applyFont="1" applyFill="1" applyBorder="1" applyAlignment="1">
      <alignment horizontal="center"/>
    </xf>
    <xf numFmtId="0" fontId="67" fillId="0" borderId="31" xfId="2" applyFont="1" applyFill="1" applyBorder="1"/>
    <xf numFmtId="0" fontId="67" fillId="0" borderId="23" xfId="2" applyFont="1" applyFill="1" applyBorder="1"/>
    <xf numFmtId="0" fontId="67" fillId="0" borderId="60" xfId="2" applyFont="1" applyFill="1" applyBorder="1"/>
    <xf numFmtId="0" fontId="67" fillId="0" borderId="61" xfId="2" applyFont="1" applyFill="1" applyBorder="1"/>
    <xf numFmtId="0" fontId="67" fillId="0" borderId="1" xfId="2" applyFont="1" applyFill="1" applyBorder="1"/>
    <xf numFmtId="0" fontId="67" fillId="0" borderId="57" xfId="2" applyFont="1" applyFill="1" applyBorder="1"/>
    <xf numFmtId="0" fontId="67" fillId="0" borderId="30" xfId="2" applyFont="1" applyFill="1" applyBorder="1"/>
    <xf numFmtId="0" fontId="11" fillId="0" borderId="31" xfId="2" applyFont="1" applyFill="1" applyBorder="1"/>
    <xf numFmtId="0" fontId="11" fillId="0" borderId="60" xfId="2" applyFont="1" applyFill="1" applyBorder="1"/>
    <xf numFmtId="0" fontId="11" fillId="0" borderId="61" xfId="2" applyFont="1" applyFill="1" applyBorder="1"/>
    <xf numFmtId="0" fontId="11" fillId="11" borderId="61" xfId="2" applyFont="1" applyFill="1" applyBorder="1"/>
    <xf numFmtId="0" fontId="11" fillId="11" borderId="60" xfId="2" applyFont="1" applyFill="1" applyBorder="1"/>
    <xf numFmtId="0" fontId="11" fillId="11" borderId="24" xfId="2" applyFont="1" applyFill="1" applyBorder="1"/>
    <xf numFmtId="0" fontId="11" fillId="0" borderId="15" xfId="2" applyFont="1" applyFill="1" applyBorder="1"/>
    <xf numFmtId="0" fontId="11" fillId="0" borderId="16" xfId="2" applyFont="1" applyFill="1" applyBorder="1"/>
    <xf numFmtId="0" fontId="11" fillId="11" borderId="17" xfId="2" applyFont="1" applyFill="1" applyBorder="1"/>
    <xf numFmtId="0" fontId="11" fillId="0" borderId="37" xfId="2" applyFont="1" applyFill="1" applyBorder="1"/>
    <xf numFmtId="0" fontId="11" fillId="11" borderId="21" xfId="2" applyFont="1" applyFill="1" applyBorder="1"/>
    <xf numFmtId="0" fontId="11" fillId="0" borderId="0" xfId="0" applyFont="1" applyFill="1" applyBorder="1" applyAlignment="1">
      <alignment vertical="top"/>
    </xf>
    <xf numFmtId="0" fontId="11" fillId="0" borderId="17" xfId="0" applyFont="1" applyFill="1" applyBorder="1" applyAlignment="1">
      <alignment vertical="top"/>
    </xf>
    <xf numFmtId="0" fontId="11" fillId="0" borderId="22" xfId="0" applyFont="1" applyFill="1" applyBorder="1" applyAlignment="1"/>
    <xf numFmtId="0" fontId="11" fillId="0" borderId="25" xfId="0" applyFont="1" applyFill="1" applyBorder="1" applyAlignment="1"/>
    <xf numFmtId="0" fontId="11" fillId="0" borderId="5" xfId="0" applyFont="1" applyFill="1" applyBorder="1" applyAlignment="1"/>
    <xf numFmtId="0" fontId="11" fillId="0" borderId="8" xfId="0" applyFont="1" applyFill="1" applyBorder="1" applyAlignment="1"/>
    <xf numFmtId="0" fontId="11" fillId="0" borderId="15" xfId="2" applyFont="1" applyFill="1" applyBorder="1" applyAlignment="1"/>
    <xf numFmtId="0" fontId="11" fillId="0" borderId="15" xfId="2" applyFont="1" applyFill="1" applyBorder="1" applyAlignment="1">
      <alignment vertical="center"/>
    </xf>
    <xf numFmtId="0" fontId="11" fillId="0" borderId="16" xfId="0" applyFont="1" applyFill="1" applyBorder="1" applyAlignment="1">
      <alignment vertical="center"/>
    </xf>
    <xf numFmtId="0" fontId="11" fillId="0" borderId="19" xfId="0" applyFont="1" applyFill="1" applyBorder="1" applyAlignment="1">
      <alignment vertical="center"/>
    </xf>
    <xf numFmtId="0" fontId="11" fillId="0" borderId="18" xfId="0" applyFont="1" applyFill="1" applyBorder="1" applyAlignment="1">
      <alignment vertical="center"/>
    </xf>
    <xf numFmtId="0" fontId="11" fillId="0" borderId="20" xfId="0" applyFont="1" applyFill="1" applyBorder="1" applyAlignment="1">
      <alignment vertical="center"/>
    </xf>
    <xf numFmtId="0" fontId="64" fillId="0" borderId="60" xfId="2" applyFont="1" applyFill="1" applyBorder="1"/>
    <xf numFmtId="0" fontId="64" fillId="0" borderId="23" xfId="2" applyFont="1" applyFill="1" applyBorder="1"/>
    <xf numFmtId="0" fontId="64" fillId="0" borderId="61" xfId="2" applyFont="1" applyFill="1" applyBorder="1"/>
    <xf numFmtId="0" fontId="11" fillId="0" borderId="15" xfId="0" applyFont="1" applyFill="1" applyBorder="1" applyAlignment="1">
      <alignment vertical="center"/>
    </xf>
    <xf numFmtId="0" fontId="64" fillId="0" borderId="0" xfId="0" applyFont="1" applyFill="1" applyBorder="1" applyAlignment="1">
      <alignment vertical="center"/>
    </xf>
    <xf numFmtId="0" fontId="11" fillId="0" borderId="60" xfId="0" applyFont="1" applyFill="1" applyBorder="1" applyAlignment="1"/>
    <xf numFmtId="0" fontId="67" fillId="0" borderId="19" xfId="2" applyFont="1" applyFill="1" applyBorder="1"/>
    <xf numFmtId="0" fontId="67" fillId="0" borderId="18" xfId="2" applyFont="1" applyFill="1" applyBorder="1"/>
    <xf numFmtId="0" fontId="11" fillId="0" borderId="60" xfId="2" applyFont="1" applyFill="1" applyBorder="1" applyAlignment="1"/>
    <xf numFmtId="0" fontId="11" fillId="0" borderId="23" xfId="2" applyFont="1" applyFill="1" applyBorder="1" applyAlignment="1"/>
    <xf numFmtId="0" fontId="11" fillId="0" borderId="61" xfId="2" applyFont="1" applyFill="1" applyBorder="1" applyAlignment="1"/>
    <xf numFmtId="0" fontId="11" fillId="0" borderId="83" xfId="2" applyFont="1" applyFill="1" applyBorder="1"/>
    <xf numFmtId="0" fontId="89" fillId="0" borderId="0" xfId="0" applyFont="1"/>
    <xf numFmtId="0" fontId="90" fillId="0" borderId="0" xfId="0" applyFont="1"/>
    <xf numFmtId="0" fontId="57" fillId="0" borderId="0" xfId="0" applyFont="1"/>
    <xf numFmtId="0" fontId="91" fillId="0" borderId="0" xfId="0" applyFont="1" applyAlignment="1"/>
    <xf numFmtId="0" fontId="15" fillId="0" borderId="0" xfId="2" applyFont="1" applyFill="1" applyBorder="1" applyAlignment="1">
      <alignment horizontal="center"/>
    </xf>
    <xf numFmtId="0" fontId="11" fillId="0" borderId="23" xfId="0" applyFont="1" applyFill="1" applyBorder="1" applyAlignment="1"/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15" xfId="0" applyFont="1" applyFill="1" applyBorder="1" applyAlignment="1"/>
    <xf numFmtId="0" fontId="11" fillId="0" borderId="0" xfId="0" applyFont="1" applyFill="1" applyBorder="1" applyAlignment="1"/>
    <xf numFmtId="0" fontId="11" fillId="0" borderId="20" xfId="0" applyFont="1" applyFill="1" applyBorder="1" applyAlignment="1"/>
    <xf numFmtId="0" fontId="11" fillId="0" borderId="17" xfId="0" applyFont="1" applyFill="1" applyBorder="1" applyAlignment="1"/>
    <xf numFmtId="0" fontId="11" fillId="0" borderId="0" xfId="0" applyFont="1" applyFill="1" applyBorder="1" applyAlignment="1">
      <alignment vertical="center"/>
    </xf>
    <xf numFmtId="0" fontId="11" fillId="0" borderId="1" xfId="2" applyFont="1" applyFill="1" applyBorder="1" applyAlignment="1"/>
    <xf numFmtId="0" fontId="11" fillId="0" borderId="22" xfId="2" applyFont="1" applyFill="1" applyBorder="1" applyAlignment="1">
      <alignment vertical="top"/>
    </xf>
    <xf numFmtId="0" fontId="11" fillId="0" borderId="24" xfId="2" applyFont="1" applyFill="1" applyBorder="1"/>
    <xf numFmtId="0" fontId="65" fillId="0" borderId="17" xfId="2" applyFont="1" applyFill="1" applyBorder="1" applyAlignment="1">
      <alignment horizontal="center"/>
    </xf>
    <xf numFmtId="0" fontId="67" fillId="0" borderId="17" xfId="2" applyFont="1" applyFill="1" applyBorder="1"/>
    <xf numFmtId="0" fontId="64" fillId="0" borderId="24" xfId="2" applyFont="1" applyFill="1" applyBorder="1"/>
    <xf numFmtId="0" fontId="11" fillId="0" borderId="17" xfId="0" applyFont="1" applyFill="1" applyBorder="1" applyAlignment="1">
      <alignment vertical="center"/>
    </xf>
    <xf numFmtId="0" fontId="67" fillId="0" borderId="21" xfId="2" applyFont="1" applyFill="1" applyBorder="1"/>
    <xf numFmtId="0" fontId="67" fillId="0" borderId="6" xfId="2" applyFont="1" applyFill="1" applyBorder="1" applyAlignment="1"/>
    <xf numFmtId="0" fontId="67" fillId="0" borderId="5" xfId="2" applyFont="1" applyFill="1" applyBorder="1" applyAlignment="1"/>
    <xf numFmtId="0" fontId="67" fillId="0" borderId="7" xfId="2" applyFont="1" applyFill="1" applyBorder="1" applyAlignment="1"/>
    <xf numFmtId="0" fontId="39" fillId="0" borderId="65" xfId="2" applyNumberFormat="1" applyFont="1" applyFill="1" applyBorder="1" applyAlignment="1">
      <alignment horizontal="center" textRotation="45" wrapText="1"/>
    </xf>
    <xf numFmtId="0" fontId="39" fillId="0" borderId="68" xfId="2" applyNumberFormat="1" applyFont="1" applyFill="1" applyBorder="1" applyAlignment="1">
      <alignment horizontal="center" textRotation="45" wrapText="1"/>
    </xf>
    <xf numFmtId="0" fontId="39" fillId="0" borderId="6" xfId="2" applyNumberFormat="1" applyFont="1" applyFill="1" applyBorder="1" applyAlignment="1">
      <alignment horizontal="center" textRotation="45" wrapText="1"/>
    </xf>
    <xf numFmtId="0" fontId="15" fillId="0" borderId="29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94" fillId="14" borderId="0" xfId="0" applyFont="1" applyFill="1" applyBorder="1" applyAlignment="1">
      <alignment horizontal="left" vertical="top"/>
    </xf>
    <xf numFmtId="0" fontId="96" fillId="14" borderId="0" xfId="0" applyFont="1" applyFill="1" applyBorder="1" applyAlignment="1">
      <alignment horizontal="left" vertical="top"/>
    </xf>
    <xf numFmtId="0" fontId="97" fillId="14" borderId="0" xfId="0" applyFont="1" applyFill="1" applyBorder="1" applyAlignment="1">
      <alignment horizontal="left" vertical="top"/>
    </xf>
    <xf numFmtId="0" fontId="0" fillId="14" borderId="0" xfId="0" applyFill="1" applyBorder="1" applyAlignment="1">
      <alignment horizontal="left" vertical="top"/>
    </xf>
    <xf numFmtId="0" fontId="99" fillId="14" borderId="0" xfId="0" applyFont="1" applyFill="1" applyBorder="1" applyAlignment="1">
      <alignment horizontal="center" vertical="center" wrapText="1"/>
    </xf>
    <xf numFmtId="0" fontId="96" fillId="15" borderId="0" xfId="0" applyFont="1" applyFill="1" applyBorder="1" applyAlignment="1">
      <alignment horizontal="left" wrapText="1"/>
    </xf>
    <xf numFmtId="0" fontId="96" fillId="14" borderId="0" xfId="0" applyFont="1" applyFill="1" applyBorder="1" applyAlignment="1">
      <alignment horizontal="left" wrapText="1"/>
    </xf>
    <xf numFmtId="0" fontId="96" fillId="14" borderId="103" xfId="0" applyFont="1" applyFill="1" applyBorder="1" applyAlignment="1">
      <alignment horizontal="left" wrapText="1"/>
    </xf>
    <xf numFmtId="0" fontId="96" fillId="14" borderId="4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center" wrapText="1"/>
    </xf>
    <xf numFmtId="0" fontId="96" fillId="14" borderId="104" xfId="0" applyFont="1" applyFill="1" applyBorder="1" applyAlignment="1">
      <alignment horizontal="left" wrapText="1"/>
    </xf>
    <xf numFmtId="0" fontId="96" fillId="14" borderId="105" xfId="0" applyFont="1" applyFill="1" applyBorder="1" applyAlignment="1">
      <alignment horizontal="left" wrapText="1"/>
    </xf>
    <xf numFmtId="0" fontId="96" fillId="15" borderId="0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left"/>
    </xf>
    <xf numFmtId="0" fontId="12" fillId="0" borderId="0" xfId="0" applyFont="1" applyFill="1" applyBorder="1" applyAlignment="1" applyProtection="1">
      <protection locked="0"/>
    </xf>
    <xf numFmtId="0" fontId="11" fillId="0" borderId="0" xfId="0" applyFont="1" applyFill="1" applyBorder="1" applyAlignment="1" applyProtection="1">
      <protection locked="0"/>
    </xf>
    <xf numFmtId="0" fontId="15" fillId="0" borderId="0" xfId="0" applyFont="1" applyFill="1" applyBorder="1" applyAlignment="1" applyProtection="1">
      <protection locked="0"/>
    </xf>
    <xf numFmtId="0" fontId="15" fillId="0" borderId="46" xfId="0" applyNumberFormat="1" applyFont="1" applyBorder="1" applyAlignment="1">
      <alignment vertical="top"/>
    </xf>
    <xf numFmtId="0" fontId="15" fillId="0" borderId="47" xfId="0" applyNumberFormat="1" applyFont="1" applyBorder="1" applyAlignment="1">
      <alignment vertical="top"/>
    </xf>
    <xf numFmtId="0" fontId="15" fillId="0" borderId="48" xfId="0" applyNumberFormat="1" applyFont="1" applyBorder="1" applyAlignment="1">
      <alignment horizontal="left" vertical="top"/>
    </xf>
    <xf numFmtId="0" fontId="0" fillId="0" borderId="1" xfId="0" applyNumberFormat="1" applyBorder="1" applyAlignment="1"/>
    <xf numFmtId="0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/>
    <xf numFmtId="0" fontId="15" fillId="0" borderId="0" xfId="0" applyNumberFormat="1" applyFont="1" applyBorder="1"/>
    <xf numFmtId="0" fontId="15" fillId="0" borderId="0" xfId="0" applyNumberFormat="1" applyFont="1" applyBorder="1" applyAlignment="1">
      <alignment vertical="center"/>
    </xf>
    <xf numFmtId="0" fontId="15" fillId="0" borderId="23" xfId="0" applyNumberFormat="1" applyFont="1" applyBorder="1" applyAlignment="1"/>
    <xf numFmtId="0" fontId="15" fillId="0" borderId="24" xfId="0" applyNumberFormat="1" applyFont="1" applyBorder="1" applyAlignment="1"/>
    <xf numFmtId="0" fontId="15" fillId="0" borderId="0" xfId="0" applyNumberFormat="1" applyFont="1" applyBorder="1" applyAlignment="1">
      <alignment horizontal="left" vertical="top"/>
    </xf>
    <xf numFmtId="0" fontId="15" fillId="0" borderId="5" xfId="0" applyNumberFormat="1" applyFont="1" applyBorder="1" applyAlignment="1">
      <alignment horizontal="left" vertical="top"/>
    </xf>
    <xf numFmtId="0" fontId="15" fillId="0" borderId="5" xfId="0" applyNumberFormat="1" applyFont="1" applyBorder="1"/>
    <xf numFmtId="0" fontId="18" fillId="0" borderId="49" xfId="2" applyNumberFormat="1" applyFont="1" applyBorder="1" applyAlignment="1" applyProtection="1">
      <alignment horizontal="center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18" fillId="0" borderId="0" xfId="2" applyNumberFormat="1" applyFont="1" applyAlignment="1" applyProtection="1">
      <alignment horizontal="right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15" fillId="0" borderId="4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3" fillId="0" borderId="4" xfId="0" applyFont="1" applyBorder="1" applyProtection="1">
      <protection locked="0"/>
    </xf>
    <xf numFmtId="0" fontId="90" fillId="0" borderId="0" xfId="0" applyFont="1" applyAlignment="1">
      <alignment horizontal="left" wrapText="1"/>
    </xf>
    <xf numFmtId="0" fontId="58" fillId="0" borderId="60" xfId="0" applyFont="1" applyBorder="1" applyAlignment="1" applyProtection="1">
      <alignment horizontal="center"/>
      <protection locked="0"/>
    </xf>
    <xf numFmtId="0" fontId="58" fillId="0" borderId="23" xfId="0" applyFont="1" applyBorder="1" applyAlignment="1" applyProtection="1">
      <alignment horizontal="center"/>
      <protection locked="0"/>
    </xf>
    <xf numFmtId="0" fontId="18" fillId="0" borderId="1" xfId="0" applyFont="1" applyFill="1" applyBorder="1" applyAlignment="1" applyProtection="1">
      <alignment horizontal="center"/>
      <protection locked="0"/>
    </xf>
    <xf numFmtId="0" fontId="18" fillId="0" borderId="57" xfId="0" applyFont="1" applyFill="1" applyBorder="1" applyAlignment="1" applyProtection="1">
      <alignment horizontal="center"/>
      <protection locked="0"/>
    </xf>
    <xf numFmtId="0" fontId="18" fillId="6" borderId="4" xfId="0" applyFont="1" applyFill="1" applyBorder="1" applyAlignment="1" applyProtection="1">
      <alignment horizontal="center"/>
      <protection locked="0"/>
    </xf>
    <xf numFmtId="0" fontId="12" fillId="0" borderId="4" xfId="0" applyFont="1" applyFill="1" applyBorder="1" applyAlignment="1" applyProtection="1">
      <alignment horizontal="right"/>
      <protection locked="0"/>
    </xf>
    <xf numFmtId="0" fontId="17" fillId="0" borderId="60" xfId="0" applyFont="1" applyFill="1" applyBorder="1" applyAlignment="1" applyProtection="1">
      <alignment horizontal="center" vertical="center" wrapText="1"/>
      <protection locked="0"/>
    </xf>
    <xf numFmtId="0" fontId="17" fillId="0" borderId="23" xfId="0" applyFont="1" applyFill="1" applyBorder="1" applyAlignment="1" applyProtection="1">
      <alignment horizontal="center" vertical="center" wrapText="1"/>
      <protection locked="0"/>
    </xf>
    <xf numFmtId="0" fontId="17" fillId="0" borderId="61" xfId="0" applyFont="1" applyFill="1" applyBorder="1" applyAlignment="1" applyProtection="1">
      <alignment horizontal="center" vertical="center" wrapText="1"/>
      <protection locked="0"/>
    </xf>
    <xf numFmtId="0" fontId="17" fillId="0" borderId="15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17" fillId="0" borderId="16" xfId="0" applyFont="1" applyFill="1" applyBorder="1" applyAlignment="1" applyProtection="1">
      <alignment horizontal="center" vertical="center" wrapText="1"/>
      <protection locked="0"/>
    </xf>
    <xf numFmtId="0" fontId="17" fillId="0" borderId="19" xfId="0" applyFont="1" applyFill="1" applyBorder="1" applyAlignment="1" applyProtection="1">
      <alignment horizontal="center" vertical="center" wrapText="1"/>
      <protection locked="0"/>
    </xf>
    <xf numFmtId="0" fontId="17" fillId="0" borderId="18" xfId="0" applyFont="1" applyFill="1" applyBorder="1" applyAlignment="1" applyProtection="1">
      <alignment horizontal="center" vertical="center" wrapText="1"/>
      <protection locked="0"/>
    </xf>
    <xf numFmtId="0" fontId="17" fillId="0" borderId="20" xfId="0" applyFont="1" applyFill="1" applyBorder="1" applyAlignment="1" applyProtection="1">
      <alignment horizontal="center" vertical="center" wrapText="1"/>
      <protection locked="0"/>
    </xf>
    <xf numFmtId="0" fontId="14" fillId="0" borderId="4" xfId="0" applyFont="1" applyBorder="1" applyAlignment="1" applyProtection="1">
      <alignment horizontal="center"/>
      <protection locked="0"/>
    </xf>
    <xf numFmtId="0" fontId="13" fillId="0" borderId="4" xfId="0" applyFont="1" applyFill="1" applyBorder="1" applyAlignment="1" applyProtection="1">
      <alignment horizontal="right"/>
      <protection locked="0"/>
    </xf>
    <xf numFmtId="0" fontId="58" fillId="0" borderId="0" xfId="0" applyFont="1" applyFill="1" applyBorder="1" applyAlignment="1" applyProtection="1">
      <alignment horizontal="center" vertical="center"/>
      <protection locked="0"/>
    </xf>
    <xf numFmtId="14" fontId="12" fillId="0" borderId="5" xfId="0" applyNumberFormat="1" applyFont="1" applyBorder="1" applyAlignment="1" applyProtection="1">
      <alignment horizontal="left"/>
      <protection locked="0"/>
    </xf>
    <xf numFmtId="0" fontId="12" fillId="0" borderId="49" xfId="0" applyFont="1" applyBorder="1" applyAlignment="1" applyProtection="1">
      <alignment horizontal="left"/>
      <protection locked="0"/>
    </xf>
    <xf numFmtId="14" fontId="12" fillId="0" borderId="49" xfId="0" applyNumberFormat="1" applyFont="1" applyBorder="1" applyAlignment="1" applyProtection="1">
      <alignment horizontal="left"/>
      <protection locked="0"/>
    </xf>
    <xf numFmtId="0" fontId="12" fillId="0" borderId="4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8" fillId="3" borderId="43" xfId="0" applyFont="1" applyFill="1" applyBorder="1" applyAlignment="1" applyProtection="1">
      <alignment horizontal="center"/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58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horizontal="righ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92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54" fillId="0" borderId="0" xfId="0" applyFont="1" applyAlignment="1" applyProtection="1">
      <alignment horizontal="center"/>
      <protection locked="0"/>
    </xf>
    <xf numFmtId="0" fontId="12" fillId="0" borderId="43" xfId="0" applyFont="1" applyBorder="1" applyAlignment="1" applyProtection="1">
      <protection locked="0"/>
    </xf>
    <xf numFmtId="0" fontId="12" fillId="0" borderId="27" xfId="0" applyFont="1" applyBorder="1" applyAlignment="1" applyProtection="1">
      <protection locked="0"/>
    </xf>
    <xf numFmtId="0" fontId="12" fillId="0" borderId="48" xfId="0" applyFont="1" applyBorder="1" applyAlignment="1" applyProtection="1">
      <alignment horizontal="center" vertical="center" wrapText="1"/>
      <protection locked="0"/>
    </xf>
    <xf numFmtId="0" fontId="12" fillId="0" borderId="57" xfId="0" applyFont="1" applyBorder="1" applyAlignment="1" applyProtection="1">
      <alignment horizontal="center" vertical="center" wrapText="1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8" fillId="0" borderId="49" xfId="1" applyNumberFormat="1" applyBorder="1" applyAlignment="1">
      <alignment horizontal="center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12" fillId="0" borderId="49" xfId="0" applyNumberFormat="1" applyFont="1" applyBorder="1" applyAlignment="1" applyProtection="1">
      <alignment horizontal="center"/>
      <protection locked="0"/>
    </xf>
    <xf numFmtId="0" fontId="12" fillId="0" borderId="48" xfId="0" applyNumberFormat="1" applyFont="1" applyBorder="1" applyAlignment="1" applyProtection="1">
      <alignment horizontal="center" vertical="center"/>
      <protection locked="0"/>
    </xf>
    <xf numFmtId="0" fontId="12" fillId="0" borderId="57" xfId="0" applyNumberFormat="1" applyFont="1" applyBorder="1" applyAlignment="1" applyProtection="1">
      <alignment horizontal="center" vertical="center"/>
      <protection locked="0"/>
    </xf>
    <xf numFmtId="0" fontId="44" fillId="0" borderId="60" xfId="0" applyFont="1" applyBorder="1" applyAlignment="1">
      <alignment horizontal="center" vertical="top"/>
    </xf>
    <xf numFmtId="0" fontId="44" fillId="0" borderId="23" xfId="0" applyFont="1" applyBorder="1" applyAlignment="1">
      <alignment horizontal="center" vertical="top"/>
    </xf>
    <xf numFmtId="0" fontId="44" fillId="0" borderId="61" xfId="0" applyFont="1" applyBorder="1" applyAlignment="1">
      <alignment horizontal="center" vertical="top"/>
    </xf>
    <xf numFmtId="0" fontId="44" fillId="0" borderId="15" xfId="0" applyFont="1" applyBorder="1" applyAlignment="1">
      <alignment horizontal="center" vertical="top"/>
    </xf>
    <xf numFmtId="0" fontId="44" fillId="0" borderId="0" xfId="0" applyFont="1" applyBorder="1" applyAlignment="1">
      <alignment horizontal="center" vertical="top"/>
    </xf>
    <xf numFmtId="0" fontId="44" fillId="0" borderId="16" xfId="0" applyFont="1" applyBorder="1" applyAlignment="1">
      <alignment horizontal="center" vertical="top"/>
    </xf>
    <xf numFmtId="0" fontId="44" fillId="0" borderId="19" xfId="0" applyFont="1" applyBorder="1" applyAlignment="1">
      <alignment horizontal="center" vertical="top"/>
    </xf>
    <xf numFmtId="0" fontId="44" fillId="0" borderId="18" xfId="0" applyFont="1" applyBorder="1" applyAlignment="1">
      <alignment horizontal="center" vertical="top"/>
    </xf>
    <xf numFmtId="0" fontId="44" fillId="0" borderId="20" xfId="0" applyFont="1" applyBorder="1" applyAlignment="1">
      <alignment horizontal="center" vertical="top"/>
    </xf>
    <xf numFmtId="0" fontId="45" fillId="0" borderId="39" xfId="0" applyFont="1" applyBorder="1" applyAlignment="1">
      <alignment horizontal="left"/>
    </xf>
    <xf numFmtId="0" fontId="45" fillId="0" borderId="4" xfId="0" applyFont="1" applyBorder="1" applyAlignment="1">
      <alignment horizontal="left"/>
    </xf>
    <xf numFmtId="0" fontId="45" fillId="0" borderId="55" xfId="0" applyFont="1" applyBorder="1" applyAlignment="1">
      <alignment horizontal="left"/>
    </xf>
    <xf numFmtId="0" fontId="45" fillId="0" borderId="56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42" fillId="0" borderId="62" xfId="0" applyFont="1" applyBorder="1" applyAlignment="1">
      <alignment horizontal="center"/>
    </xf>
    <xf numFmtId="0" fontId="42" fillId="0" borderId="49" xfId="0" applyFont="1" applyBorder="1" applyAlignment="1">
      <alignment horizontal="center"/>
    </xf>
    <xf numFmtId="0" fontId="42" fillId="0" borderId="63" xfId="0" applyFont="1" applyBorder="1" applyAlignment="1">
      <alignment horizontal="center"/>
    </xf>
    <xf numFmtId="0" fontId="45" fillId="0" borderId="64" xfId="0" applyFont="1" applyBorder="1" applyAlignment="1">
      <alignment horizontal="left"/>
    </xf>
    <xf numFmtId="0" fontId="45" fillId="0" borderId="44" xfId="0" applyFont="1" applyBorder="1" applyAlignment="1">
      <alignment horizontal="left"/>
    </xf>
    <xf numFmtId="0" fontId="45" fillId="0" borderId="28" xfId="0" applyFont="1" applyBorder="1" applyAlignment="1">
      <alignment horizontal="left" wrapText="1"/>
    </xf>
    <xf numFmtId="0" fontId="45" fillId="0" borderId="57" xfId="0" applyFont="1" applyBorder="1" applyAlignment="1">
      <alignment horizontal="left" wrapText="1"/>
    </xf>
    <xf numFmtId="0" fontId="44" fillId="0" borderId="39" xfId="0" applyFont="1" applyBorder="1" applyAlignment="1">
      <alignment horizontal="left"/>
    </xf>
    <xf numFmtId="0" fontId="44" fillId="0" borderId="4" xfId="0" applyFont="1" applyBorder="1" applyAlignment="1">
      <alignment horizontal="left"/>
    </xf>
    <xf numFmtId="0" fontId="30" fillId="0" borderId="49" xfId="0" applyFont="1" applyBorder="1" applyAlignment="1">
      <alignment horizontal="center"/>
    </xf>
    <xf numFmtId="0" fontId="32" fillId="0" borderId="0" xfId="0" applyFont="1" applyAlignment="1">
      <alignment horizontal="right"/>
    </xf>
    <xf numFmtId="0" fontId="31" fillId="0" borderId="49" xfId="0" applyFont="1" applyBorder="1" applyAlignment="1">
      <alignment horizontal="left"/>
    </xf>
    <xf numFmtId="0" fontId="32" fillId="0" borderId="0" xfId="0" applyFont="1" applyAlignment="1">
      <alignment horizontal="left"/>
    </xf>
    <xf numFmtId="0" fontId="31" fillId="0" borderId="18" xfId="0" applyFont="1" applyBorder="1" applyAlignment="1">
      <alignment horizontal="left"/>
    </xf>
    <xf numFmtId="0" fontId="46" fillId="0" borderId="0" xfId="0" applyFont="1" applyBorder="1" applyAlignment="1">
      <alignment horizontal="center" vertical="center"/>
    </xf>
    <xf numFmtId="0" fontId="42" fillId="0" borderId="59" xfId="0" applyFont="1" applyBorder="1" applyAlignment="1">
      <alignment horizontal="left" vertical="top" wrapText="1"/>
    </xf>
    <xf numFmtId="0" fontId="0" fillId="0" borderId="10" xfId="0" applyBorder="1"/>
    <xf numFmtId="0" fontId="41" fillId="0" borderId="4" xfId="0" applyFont="1" applyBorder="1" applyAlignment="1">
      <alignment horizontal="center" vertical="center"/>
    </xf>
    <xf numFmtId="0" fontId="45" fillId="0" borderId="22" xfId="0" applyFont="1" applyBorder="1" applyAlignment="1">
      <alignment horizontal="left" vertical="top" wrapText="1"/>
    </xf>
    <xf numFmtId="0" fontId="11" fillId="0" borderId="0" xfId="0" applyFont="1" applyBorder="1"/>
    <xf numFmtId="0" fontId="11" fillId="0" borderId="17" xfId="0" applyFont="1" applyBorder="1"/>
    <xf numFmtId="0" fontId="45" fillId="0" borderId="0" xfId="0" applyFont="1" applyBorder="1" applyAlignment="1">
      <alignment horizontal="left" vertical="top" wrapText="1"/>
    </xf>
    <xf numFmtId="0" fontId="45" fillId="0" borderId="17" xfId="0" applyFont="1" applyBorder="1" applyAlignment="1">
      <alignment horizontal="left" vertical="top" wrapText="1"/>
    </xf>
    <xf numFmtId="0" fontId="45" fillId="0" borderId="25" xfId="0" applyFont="1" applyBorder="1" applyAlignment="1">
      <alignment horizontal="left" vertical="top" wrapText="1"/>
    </xf>
    <xf numFmtId="0" fontId="45" fillId="0" borderId="5" xfId="0" applyFont="1" applyBorder="1" applyAlignment="1">
      <alignment horizontal="left" vertical="top" wrapText="1"/>
    </xf>
    <xf numFmtId="0" fontId="45" fillId="0" borderId="8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top" wrapText="1"/>
    </xf>
    <xf numFmtId="40" fontId="30" fillId="0" borderId="5" xfId="0" applyNumberFormat="1" applyFont="1" applyBorder="1" applyAlignment="1">
      <alignment horizontal="center"/>
    </xf>
    <xf numFmtId="40" fontId="30" fillId="0" borderId="49" xfId="0" applyNumberFormat="1" applyFont="1" applyBorder="1" applyAlignment="1">
      <alignment horizontal="center"/>
    </xf>
    <xf numFmtId="14" fontId="15" fillId="0" borderId="15" xfId="0" applyNumberFormat="1" applyFont="1" applyBorder="1" applyAlignment="1">
      <alignment horizontal="center" vertical="top"/>
    </xf>
    <xf numFmtId="14" fontId="15" fillId="0" borderId="0" xfId="0" applyNumberFormat="1" applyFont="1" applyBorder="1" applyAlignment="1">
      <alignment horizontal="center" vertical="top"/>
    </xf>
    <xf numFmtId="14" fontId="15" fillId="0" borderId="16" xfId="0" applyNumberFormat="1" applyFont="1" applyBorder="1" applyAlignment="1">
      <alignment horizontal="center" vertical="top"/>
    </xf>
    <xf numFmtId="0" fontId="13" fillId="0" borderId="42" xfId="0" applyFont="1" applyBorder="1" applyAlignment="1">
      <alignment horizontal="center" vertical="center" textRotation="90"/>
    </xf>
    <xf numFmtId="0" fontId="13" fillId="0" borderId="65" xfId="0" applyFont="1" applyBorder="1" applyAlignment="1">
      <alignment horizontal="center" vertical="center" textRotation="90"/>
    </xf>
    <xf numFmtId="0" fontId="13" fillId="0" borderId="50" xfId="0" applyFont="1" applyBorder="1" applyAlignment="1">
      <alignment horizontal="center" vertical="center" textRotation="90"/>
    </xf>
    <xf numFmtId="0" fontId="48" fillId="2" borderId="62" xfId="0" applyFont="1" applyFill="1" applyBorder="1" applyAlignment="1" applyProtection="1">
      <alignment horizontal="center" vertical="top" wrapText="1"/>
      <protection locked="0"/>
    </xf>
    <xf numFmtId="0" fontId="48" fillId="2" borderId="49" xfId="0" applyFont="1" applyFill="1" applyBorder="1" applyAlignment="1" applyProtection="1">
      <alignment horizontal="center" vertical="top" wrapText="1"/>
      <protection locked="0"/>
    </xf>
    <xf numFmtId="0" fontId="4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7" xfId="0" applyNumberFormat="1" applyFont="1" applyBorder="1" applyAlignment="1">
      <alignment horizontal="left" vertical="center"/>
    </xf>
    <xf numFmtId="0" fontId="15" fillId="0" borderId="66" xfId="0" applyNumberFormat="1" applyFont="1" applyBorder="1" applyAlignment="1">
      <alignment horizontal="left" vertical="center"/>
    </xf>
    <xf numFmtId="0" fontId="13" fillId="5" borderId="62" xfId="0" applyFont="1" applyFill="1" applyBorder="1" applyAlignment="1" applyProtection="1">
      <alignment horizontal="center" vertical="center" wrapText="1"/>
      <protection locked="0"/>
    </xf>
    <xf numFmtId="0" fontId="13" fillId="5" borderId="49" xfId="0" applyFont="1" applyFill="1" applyBorder="1" applyAlignment="1" applyProtection="1">
      <alignment horizontal="center" vertical="center" wrapText="1"/>
      <protection locked="0"/>
    </xf>
    <xf numFmtId="0" fontId="13" fillId="5" borderId="63" xfId="0" applyFont="1" applyFill="1" applyBorder="1" applyAlignment="1" applyProtection="1">
      <alignment horizontal="center" vertical="center" wrapText="1"/>
      <protection locked="0"/>
    </xf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13" fillId="0" borderId="64" xfId="0" applyFont="1" applyFill="1" applyBorder="1" applyAlignment="1">
      <alignment horizontal="center" vertical="center"/>
    </xf>
    <xf numFmtId="0" fontId="13" fillId="0" borderId="44" xfId="0" applyFont="1" applyFill="1" applyBorder="1" applyAlignment="1">
      <alignment horizontal="center" vertical="center"/>
    </xf>
    <xf numFmtId="0" fontId="15" fillId="0" borderId="22" xfId="0" applyFont="1" applyFill="1" applyBorder="1" applyAlignment="1">
      <alignment horizontal="center" wrapText="1"/>
    </xf>
    <xf numFmtId="0" fontId="15" fillId="0" borderId="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37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10" borderId="59" xfId="0" applyFont="1" applyFill="1" applyBorder="1" applyAlignment="1">
      <alignment horizontal="center" vertical="center"/>
    </xf>
    <xf numFmtId="0" fontId="15" fillId="10" borderId="10" xfId="0" applyFont="1" applyFill="1" applyBorder="1" applyAlignment="1">
      <alignment horizontal="center" vertical="center"/>
    </xf>
    <xf numFmtId="0" fontId="15" fillId="10" borderId="14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horizontal="center" vertical="center"/>
    </xf>
    <xf numFmtId="0" fontId="15" fillId="10" borderId="17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horizontal="center" vertical="center" wrapText="1"/>
    </xf>
    <xf numFmtId="0" fontId="15" fillId="10" borderId="17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/>
    </xf>
    <xf numFmtId="0" fontId="15" fillId="10" borderId="5" xfId="0" applyFont="1" applyFill="1" applyBorder="1" applyAlignment="1">
      <alignment horizontal="center" vertical="center" wrapText="1"/>
    </xf>
    <xf numFmtId="0" fontId="15" fillId="10" borderId="8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/>
    </xf>
    <xf numFmtId="0" fontId="15" fillId="10" borderId="59" xfId="0" applyFont="1" applyFill="1" applyBorder="1" applyAlignment="1">
      <alignment horizontal="center" wrapText="1"/>
    </xf>
    <xf numFmtId="0" fontId="15" fillId="10" borderId="10" xfId="0" applyFont="1" applyFill="1" applyBorder="1" applyAlignment="1">
      <alignment horizontal="center" wrapText="1"/>
    </xf>
    <xf numFmtId="0" fontId="15" fillId="10" borderId="14" xfId="0" applyFont="1" applyFill="1" applyBorder="1" applyAlignment="1">
      <alignment horizontal="center" wrapText="1"/>
    </xf>
    <xf numFmtId="0" fontId="15" fillId="10" borderId="22" xfId="0" applyFont="1" applyFill="1" applyBorder="1" applyAlignment="1">
      <alignment horizontal="center" wrapText="1"/>
    </xf>
    <xf numFmtId="0" fontId="15" fillId="10" borderId="0" xfId="0" applyFont="1" applyFill="1" applyBorder="1" applyAlignment="1">
      <alignment horizontal="center" wrapText="1"/>
    </xf>
    <xf numFmtId="0" fontId="15" fillId="10" borderId="17" xfId="0" applyFont="1" applyFill="1" applyBorder="1" applyAlignment="1">
      <alignment horizontal="center" wrapText="1"/>
    </xf>
    <xf numFmtId="49" fontId="15" fillId="0" borderId="15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17" xfId="0" applyFont="1" applyFill="1" applyBorder="1" applyAlignment="1">
      <alignment horizontal="center" vertical="center" wrapText="1"/>
    </xf>
    <xf numFmtId="0" fontId="15" fillId="0" borderId="19" xfId="0" applyFont="1" applyFill="1" applyBorder="1" applyAlignment="1">
      <alignment horizontal="center" vertical="center" wrapText="1"/>
    </xf>
    <xf numFmtId="0" fontId="15" fillId="0" borderId="18" xfId="0" applyFont="1" applyFill="1" applyBorder="1" applyAlignment="1">
      <alignment horizontal="center" vertical="center" wrapText="1"/>
    </xf>
    <xf numFmtId="0" fontId="15" fillId="0" borderId="21" xfId="0" applyFont="1" applyFill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27" xfId="0" applyFont="1" applyBorder="1" applyAlignment="1">
      <alignment vertical="center"/>
    </xf>
    <xf numFmtId="0" fontId="15" fillId="0" borderId="60" xfId="0" applyFont="1" applyBorder="1" applyAlignment="1">
      <alignment vertical="center"/>
    </xf>
    <xf numFmtId="0" fontId="15" fillId="0" borderId="37" xfId="0" applyFont="1" applyBorder="1" applyAlignment="1">
      <alignment horizontal="center" wrapText="1"/>
    </xf>
    <xf numFmtId="0" fontId="15" fillId="0" borderId="18" xfId="0" applyFont="1" applyBorder="1" applyAlignment="1">
      <alignment horizontal="center" wrapText="1"/>
    </xf>
    <xf numFmtId="0" fontId="15" fillId="0" borderId="32" xfId="0" applyFont="1" applyBorder="1" applyAlignment="1">
      <alignment horizontal="center" wrapText="1"/>
    </xf>
    <xf numFmtId="0" fontId="14" fillId="0" borderId="1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0" fontId="15" fillId="0" borderId="48" xfId="0" applyFont="1" applyBorder="1" applyAlignment="1">
      <alignment vertical="center"/>
    </xf>
    <xf numFmtId="0" fontId="14" fillId="0" borderId="23" xfId="0" applyFont="1" applyBorder="1" applyAlignment="1">
      <alignment horizontal="center"/>
    </xf>
    <xf numFmtId="0" fontId="14" fillId="0" borderId="67" xfId="0" applyFont="1" applyBorder="1" applyAlignment="1">
      <alignment horizontal="center"/>
    </xf>
    <xf numFmtId="49" fontId="3" fillId="0" borderId="27" xfId="0" applyNumberFormat="1" applyFont="1" applyBorder="1" applyAlignment="1">
      <alignment horizontal="left" vertical="center" wrapText="1"/>
    </xf>
    <xf numFmtId="14" fontId="15" fillId="0" borderId="4" xfId="0" applyNumberFormat="1" applyFont="1" applyBorder="1" applyAlignment="1">
      <alignment vertical="center"/>
    </xf>
    <xf numFmtId="49" fontId="3" fillId="0" borderId="4" xfId="0" applyNumberFormat="1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9" fillId="0" borderId="0" xfId="1" applyFont="1" applyBorder="1" applyAlignment="1" applyProtection="1">
      <alignment horizontal="center" vertical="center"/>
    </xf>
    <xf numFmtId="0" fontId="19" fillId="0" borderId="3" xfId="1" applyFont="1" applyBorder="1" applyAlignment="1" applyProtection="1">
      <alignment horizontal="center" vertical="center"/>
    </xf>
    <xf numFmtId="0" fontId="3" fillId="0" borderId="69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5" fillId="5" borderId="49" xfId="0" applyFont="1" applyFill="1" applyBorder="1" applyAlignment="1" applyProtection="1">
      <alignment horizontal="center" wrapText="1"/>
      <protection locked="0"/>
    </xf>
    <xf numFmtId="0" fontId="15" fillId="0" borderId="18" xfId="0" applyNumberFormat="1" applyFont="1" applyBorder="1" applyAlignment="1">
      <alignment horizontal="left" vertical="center" wrapText="1"/>
    </xf>
    <xf numFmtId="0" fontId="15" fillId="0" borderId="21" xfId="0" applyNumberFormat="1" applyFont="1" applyBorder="1" applyAlignment="1">
      <alignment horizontal="left" vertical="center" wrapText="1"/>
    </xf>
    <xf numFmtId="0" fontId="37" fillId="0" borderId="27" xfId="0" applyNumberFormat="1" applyFont="1" applyBorder="1" applyAlignment="1">
      <alignment horizontal="center" textRotation="90" wrapText="1"/>
    </xf>
    <xf numFmtId="0" fontId="37" fillId="0" borderId="51" xfId="0" applyNumberFormat="1" applyFont="1" applyBorder="1" applyAlignment="1">
      <alignment horizontal="center" textRotation="90" wrapText="1"/>
    </xf>
    <xf numFmtId="0" fontId="37" fillId="0" borderId="68" xfId="0" applyNumberFormat="1" applyFont="1" applyBorder="1" applyAlignment="1">
      <alignment horizontal="center" textRotation="90" wrapText="1"/>
    </xf>
    <xf numFmtId="0" fontId="37" fillId="0" borderId="73" xfId="0" applyNumberFormat="1" applyFont="1" applyBorder="1" applyAlignment="1">
      <alignment horizontal="center" textRotation="90" wrapText="1"/>
    </xf>
    <xf numFmtId="0" fontId="37" fillId="0" borderId="42" xfId="0" applyNumberFormat="1" applyFont="1" applyBorder="1" applyAlignment="1">
      <alignment horizontal="center" textRotation="90" wrapText="1"/>
    </xf>
    <xf numFmtId="0" fontId="37" fillId="0" borderId="65" xfId="0" applyNumberFormat="1" applyFont="1" applyBorder="1" applyAlignment="1">
      <alignment horizontal="center" textRotation="90" wrapText="1"/>
    </xf>
    <xf numFmtId="0" fontId="15" fillId="0" borderId="9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84" fillId="7" borderId="59" xfId="0" applyFont="1" applyFill="1" applyBorder="1" applyAlignment="1">
      <alignment horizontal="left" vertical="center" wrapText="1"/>
    </xf>
    <xf numFmtId="0" fontId="84" fillId="7" borderId="10" xfId="0" applyFont="1" applyFill="1" applyBorder="1" applyAlignment="1">
      <alignment horizontal="left" vertical="center" wrapText="1"/>
    </xf>
    <xf numFmtId="0" fontId="84" fillId="7" borderId="14" xfId="0" applyFont="1" applyFill="1" applyBorder="1" applyAlignment="1">
      <alignment horizontal="left" vertical="center" wrapText="1"/>
    </xf>
    <xf numFmtId="0" fontId="84" fillId="7" borderId="22" xfId="0" applyFont="1" applyFill="1" applyBorder="1" applyAlignment="1">
      <alignment horizontal="left" vertical="center" wrapText="1"/>
    </xf>
    <xf numFmtId="0" fontId="84" fillId="7" borderId="0" xfId="0" applyFont="1" applyFill="1" applyBorder="1" applyAlignment="1">
      <alignment horizontal="left" vertical="center" wrapText="1"/>
    </xf>
    <xf numFmtId="0" fontId="84" fillId="7" borderId="17" xfId="0" applyFont="1" applyFill="1" applyBorder="1" applyAlignment="1">
      <alignment horizontal="left" vertical="center" wrapText="1"/>
    </xf>
    <xf numFmtId="0" fontId="84" fillId="7" borderId="25" xfId="0" applyFont="1" applyFill="1" applyBorder="1" applyAlignment="1">
      <alignment horizontal="left" vertical="center" wrapText="1"/>
    </xf>
    <xf numFmtId="0" fontId="84" fillId="7" borderId="5" xfId="0" applyFont="1" applyFill="1" applyBorder="1" applyAlignment="1">
      <alignment horizontal="left" vertical="center" wrapText="1"/>
    </xf>
    <xf numFmtId="0" fontId="84" fillId="7" borderId="8" xfId="0" applyFont="1" applyFill="1" applyBorder="1" applyAlignment="1">
      <alignment horizontal="left" vertical="center" wrapText="1"/>
    </xf>
    <xf numFmtId="0" fontId="37" fillId="0" borderId="64" xfId="0" applyNumberFormat="1" applyFont="1" applyBorder="1" applyAlignment="1">
      <alignment horizontal="center"/>
    </xf>
    <xf numFmtId="0" fontId="37" fillId="0" borderId="47" xfId="0" applyNumberFormat="1" applyFont="1" applyBorder="1" applyAlignment="1">
      <alignment horizontal="center"/>
    </xf>
    <xf numFmtId="0" fontId="15" fillId="0" borderId="15" xfId="0" applyFont="1" applyBorder="1" applyAlignment="1">
      <alignment horizontal="center" vertical="center" wrapText="1"/>
    </xf>
    <xf numFmtId="0" fontId="102" fillId="0" borderId="73" xfId="0" applyNumberFormat="1" applyFont="1" applyBorder="1" applyAlignment="1">
      <alignment horizontal="center" textRotation="90" wrapText="1"/>
    </xf>
    <xf numFmtId="0" fontId="102" fillId="0" borderId="42" xfId="0" applyNumberFormat="1" applyFont="1" applyBorder="1" applyAlignment="1">
      <alignment horizontal="center" textRotation="90" wrapText="1"/>
    </xf>
    <xf numFmtId="0" fontId="102" fillId="0" borderId="65" xfId="0" applyNumberFormat="1" applyFont="1" applyBorder="1" applyAlignment="1">
      <alignment horizontal="center" textRotation="90" wrapText="1"/>
    </xf>
    <xf numFmtId="0" fontId="15" fillId="0" borderId="48" xfId="0" applyNumberFormat="1" applyFont="1" applyBorder="1" applyAlignment="1">
      <alignment horizontal="left" vertical="top" wrapText="1"/>
    </xf>
    <xf numFmtId="0" fontId="0" fillId="0" borderId="1" xfId="0" applyNumberFormat="1" applyBorder="1" applyAlignment="1">
      <alignment vertical="top"/>
    </xf>
    <xf numFmtId="0" fontId="9" fillId="0" borderId="1" xfId="0" applyNumberFormat="1" applyFont="1" applyBorder="1" applyAlignment="1">
      <alignment vertical="top" wrapText="1"/>
    </xf>
    <xf numFmtId="0" fontId="9" fillId="0" borderId="1" xfId="0" applyNumberFormat="1" applyFont="1" applyBorder="1" applyAlignment="1">
      <alignment vertical="top"/>
    </xf>
    <xf numFmtId="0" fontId="15" fillId="0" borderId="23" xfId="0" applyNumberFormat="1" applyFont="1" applyBorder="1" applyAlignment="1">
      <alignment horizontal="left" vertical="center" wrapText="1"/>
    </xf>
    <xf numFmtId="0" fontId="15" fillId="0" borderId="24" xfId="0" applyNumberFormat="1" applyFont="1" applyBorder="1" applyAlignment="1">
      <alignment horizontal="left" vertical="center" wrapText="1"/>
    </xf>
    <xf numFmtId="0" fontId="15" fillId="0" borderId="23" xfId="0" applyNumberFormat="1" applyFont="1" applyBorder="1" applyAlignment="1">
      <alignment horizontal="left" vertical="top"/>
    </xf>
    <xf numFmtId="0" fontId="15" fillId="0" borderId="6" xfId="0" applyNumberFormat="1" applyFont="1" applyBorder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top" wrapText="1"/>
    </xf>
    <xf numFmtId="0" fontId="0" fillId="0" borderId="17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1" xfId="0" applyBorder="1" applyAlignment="1">
      <alignment vertical="top"/>
    </xf>
    <xf numFmtId="0" fontId="10" fillId="0" borderId="9" xfId="0" applyFont="1" applyBorder="1" applyAlignment="1">
      <alignment horizontal="center" wrapText="1"/>
    </xf>
    <xf numFmtId="0" fontId="10" fillId="0" borderId="14" xfId="0" applyFont="1" applyBorder="1" applyAlignment="1">
      <alignment horizontal="center" wrapText="1"/>
    </xf>
    <xf numFmtId="0" fontId="15" fillId="0" borderId="23" xfId="0" applyNumberFormat="1" applyFont="1" applyBorder="1" applyAlignment="1">
      <alignment horizontal="center"/>
    </xf>
    <xf numFmtId="0" fontId="14" fillId="9" borderId="57" xfId="0" applyFont="1" applyFill="1" applyBorder="1" applyAlignment="1">
      <alignment horizontal="center"/>
    </xf>
    <xf numFmtId="0" fontId="14" fillId="9" borderId="4" xfId="0" applyFont="1" applyFill="1" applyBorder="1" applyAlignment="1">
      <alignment horizontal="center"/>
    </xf>
    <xf numFmtId="0" fontId="15" fillId="0" borderId="1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1" fillId="0" borderId="17" xfId="0" applyFont="1" applyBorder="1" applyAlignment="1">
      <alignment vertical="center"/>
    </xf>
    <xf numFmtId="0" fontId="8" fillId="0" borderId="0" xfId="1" applyBorder="1" applyAlignment="1" applyProtection="1">
      <alignment horizontal="center" vertical="center"/>
    </xf>
    <xf numFmtId="0" fontId="15" fillId="10" borderId="62" xfId="0" applyFont="1" applyFill="1" applyBorder="1" applyAlignment="1">
      <alignment horizontal="center" vertical="center" shrinkToFit="1"/>
    </xf>
    <xf numFmtId="0" fontId="0" fillId="10" borderId="49" xfId="0" applyFill="1" applyBorder="1" applyAlignment="1">
      <alignment shrinkToFit="1"/>
    </xf>
    <xf numFmtId="0" fontId="0" fillId="10" borderId="63" xfId="0" applyFill="1" applyBorder="1" applyAlignment="1">
      <alignment shrinkToFit="1"/>
    </xf>
    <xf numFmtId="0" fontId="15" fillId="0" borderId="1" xfId="0" applyNumberFormat="1" applyFont="1" applyBorder="1" applyAlignment="1">
      <alignment horizontal="left" vertical="center" wrapText="1"/>
    </xf>
    <xf numFmtId="0" fontId="15" fillId="0" borderId="30" xfId="0" applyNumberFormat="1" applyFont="1" applyBorder="1" applyAlignment="1">
      <alignment horizontal="left" vertical="center" wrapText="1"/>
    </xf>
    <xf numFmtId="0" fontId="15" fillId="0" borderId="5" xfId="0" applyNumberFormat="1" applyFont="1" applyBorder="1" applyAlignment="1">
      <alignment horizontal="left" vertical="center" wrapText="1"/>
    </xf>
    <xf numFmtId="0" fontId="15" fillId="0" borderId="8" xfId="0" applyNumberFormat="1" applyFont="1" applyBorder="1" applyAlignment="1">
      <alignment horizontal="left" vertical="center" wrapText="1"/>
    </xf>
    <xf numFmtId="0" fontId="15" fillId="0" borderId="1" xfId="0" applyNumberFormat="1" applyFont="1" applyBorder="1" applyAlignment="1">
      <alignment horizontal="center" vertical="center" wrapText="1"/>
    </xf>
    <xf numFmtId="0" fontId="15" fillId="0" borderId="30" xfId="0" applyNumberFormat="1" applyFont="1" applyBorder="1" applyAlignment="1">
      <alignment horizontal="center" vertical="center" wrapText="1"/>
    </xf>
    <xf numFmtId="0" fontId="15" fillId="0" borderId="19" xfId="0" applyNumberFormat="1" applyFont="1" applyBorder="1" applyAlignment="1">
      <alignment horizontal="center" vertical="center" wrapText="1"/>
    </xf>
    <xf numFmtId="0" fontId="15" fillId="0" borderId="18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textRotation="255" shrinkToFit="1"/>
    </xf>
    <xf numFmtId="0" fontId="25" fillId="0" borderId="16" xfId="0" applyFont="1" applyBorder="1"/>
    <xf numFmtId="0" fontId="25" fillId="0" borderId="20" xfId="0" applyFont="1" applyBorder="1"/>
    <xf numFmtId="0" fontId="15" fillId="0" borderId="23" xfId="0" applyNumberFormat="1" applyFont="1" applyBorder="1" applyAlignment="1">
      <alignment horizontal="center" vertical="top" wrapText="1"/>
    </xf>
    <xf numFmtId="0" fontId="15" fillId="0" borderId="48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4" fillId="9" borderId="61" xfId="0" applyFont="1" applyFill="1" applyBorder="1" applyAlignment="1">
      <alignment horizontal="center"/>
    </xf>
    <xf numFmtId="0" fontId="14" fillId="9" borderId="27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 vertical="center" wrapText="1"/>
    </xf>
    <xf numFmtId="0" fontId="11" fillId="9" borderId="10" xfId="0" applyFont="1" applyFill="1" applyBorder="1" applyAlignment="1">
      <alignment horizontal="center" vertical="center" wrapText="1"/>
    </xf>
    <xf numFmtId="0" fontId="11" fillId="9" borderId="13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9" fillId="0" borderId="69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textRotation="90" wrapText="1"/>
    </xf>
    <xf numFmtId="0" fontId="9" fillId="0" borderId="51" xfId="0" applyFont="1" applyBorder="1" applyAlignment="1">
      <alignment horizontal="center" textRotation="90" wrapText="1"/>
    </xf>
    <xf numFmtId="0" fontId="9" fillId="0" borderId="29" xfId="0" applyFont="1" applyBorder="1" applyAlignment="1">
      <alignment horizontal="center" textRotation="90" wrapText="1"/>
    </xf>
    <xf numFmtId="0" fontId="9" fillId="0" borderId="72" xfId="0" applyFont="1" applyBorder="1" applyAlignment="1">
      <alignment horizontal="center" textRotation="90" wrapText="1"/>
    </xf>
    <xf numFmtId="0" fontId="9" fillId="0" borderId="52" xfId="0" applyFont="1" applyBorder="1" applyAlignment="1">
      <alignment horizontal="center" textRotation="90" wrapText="1"/>
    </xf>
    <xf numFmtId="0" fontId="9" fillId="0" borderId="41" xfId="0" applyFont="1" applyBorder="1" applyAlignment="1">
      <alignment horizontal="center" textRotation="90" wrapText="1"/>
    </xf>
    <xf numFmtId="0" fontId="14" fillId="0" borderId="4" xfId="0" applyFont="1" applyBorder="1" applyAlignment="1">
      <alignment horizontal="center"/>
    </xf>
    <xf numFmtId="0" fontId="14" fillId="0" borderId="48" xfId="0" applyFont="1" applyBorder="1" applyAlignment="1">
      <alignment horizontal="center"/>
    </xf>
    <xf numFmtId="0" fontId="26" fillId="0" borderId="15" xfId="0" applyFont="1" applyBorder="1" applyAlignment="1">
      <alignment horizontal="center" wrapText="1"/>
    </xf>
    <xf numFmtId="0" fontId="15" fillId="0" borderId="17" xfId="0" applyFont="1" applyBorder="1" applyAlignment="1"/>
    <xf numFmtId="0" fontId="15" fillId="0" borderId="19" xfId="0" applyFont="1" applyBorder="1" applyAlignment="1"/>
    <xf numFmtId="0" fontId="15" fillId="0" borderId="21" xfId="0" applyFont="1" applyBorder="1" applyAlignment="1"/>
    <xf numFmtId="0" fontId="18" fillId="2" borderId="62" xfId="0" applyFont="1" applyFill="1" applyBorder="1" applyAlignment="1" applyProtection="1">
      <alignment horizontal="center" vertical="top" wrapText="1"/>
      <protection locked="0"/>
    </xf>
    <xf numFmtId="0" fontId="18" fillId="2" borderId="49" xfId="0" applyFont="1" applyFill="1" applyBorder="1" applyAlignment="1" applyProtection="1">
      <alignment horizontal="center" vertical="top" wrapText="1"/>
      <protection locked="0"/>
    </xf>
    <xf numFmtId="0" fontId="1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6" xfId="0" applyFont="1" applyBorder="1" applyAlignment="1">
      <alignment horizontal="left"/>
    </xf>
    <xf numFmtId="0" fontId="15" fillId="0" borderId="47" xfId="0" applyFont="1" applyBorder="1" applyAlignment="1">
      <alignment horizontal="left"/>
    </xf>
    <xf numFmtId="40" fontId="15" fillId="0" borderId="47" xfId="0" applyNumberFormat="1" applyFont="1" applyBorder="1" applyAlignment="1">
      <alignment horizontal="center" vertical="center"/>
    </xf>
    <xf numFmtId="40" fontId="15" fillId="0" borderId="66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wrapText="1"/>
    </xf>
    <xf numFmtId="0" fontId="15" fillId="0" borderId="10" xfId="0" applyFont="1" applyFill="1" applyBorder="1" applyAlignment="1">
      <alignment horizontal="center"/>
    </xf>
    <xf numFmtId="0" fontId="15" fillId="0" borderId="13" xfId="0" applyFont="1" applyFill="1" applyBorder="1" applyAlignment="1">
      <alignment horizontal="center"/>
    </xf>
    <xf numFmtId="0" fontId="9" fillId="0" borderId="73" xfId="0" applyFont="1" applyBorder="1" applyAlignment="1">
      <alignment horizontal="center" textRotation="90" wrapText="1"/>
    </xf>
    <xf numFmtId="0" fontId="9" fillId="0" borderId="42" xfId="0" applyFont="1" applyBorder="1" applyAlignment="1">
      <alignment horizontal="center" textRotation="90" wrapText="1"/>
    </xf>
    <xf numFmtId="0" fontId="9" fillId="0" borderId="40" xfId="0" applyFont="1" applyBorder="1" applyAlignment="1">
      <alignment horizontal="center" textRotation="90" wrapText="1"/>
    </xf>
    <xf numFmtId="0" fontId="15" fillId="0" borderId="1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48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4" fillId="2" borderId="57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0" fontId="11" fillId="2" borderId="20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0" fontId="35" fillId="0" borderId="0" xfId="0" applyFont="1" applyBorder="1" applyAlignment="1">
      <alignment horizontal="center" vertical="center"/>
    </xf>
    <xf numFmtId="0" fontId="15" fillId="0" borderId="1" xfId="0" applyFont="1" applyBorder="1" applyAlignment="1"/>
    <xf numFmtId="0" fontId="15" fillId="0" borderId="30" xfId="0" applyFont="1" applyBorder="1" applyAlignment="1"/>
    <xf numFmtId="0" fontId="15" fillId="0" borderId="1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3" fillId="0" borderId="62" xfId="0" applyFont="1" applyBorder="1" applyAlignment="1">
      <alignment horizontal="center" wrapText="1"/>
    </xf>
    <xf numFmtId="0" fontId="13" fillId="0" borderId="49" xfId="0" applyFont="1" applyBorder="1" applyAlignment="1">
      <alignment horizontal="center" wrapText="1"/>
    </xf>
    <xf numFmtId="0" fontId="13" fillId="0" borderId="74" xfId="0" applyFont="1" applyBorder="1" applyAlignment="1">
      <alignment horizontal="center" wrapText="1"/>
    </xf>
    <xf numFmtId="0" fontId="9" fillId="0" borderId="1" xfId="0" applyFont="1" applyBorder="1" applyAlignment="1">
      <alignment horizontal="left" wrapText="1"/>
    </xf>
    <xf numFmtId="0" fontId="18" fillId="0" borderId="13" xfId="0" applyFont="1" applyBorder="1" applyAlignment="1">
      <alignment horizontal="center" textRotation="255" shrinkToFit="1"/>
    </xf>
    <xf numFmtId="0" fontId="15" fillId="0" borderId="16" xfId="0" applyFont="1" applyBorder="1"/>
    <xf numFmtId="0" fontId="15" fillId="0" borderId="20" xfId="0" applyFont="1" applyBorder="1"/>
    <xf numFmtId="0" fontId="15" fillId="0" borderId="23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9" fillId="0" borderId="46" xfId="0" applyFont="1" applyBorder="1" applyAlignment="1">
      <alignment horizontal="center" wrapText="1"/>
    </xf>
    <xf numFmtId="0" fontId="9" fillId="0" borderId="47" xfId="0" applyFont="1" applyBorder="1" applyAlignment="1">
      <alignment horizontal="center" wrapText="1"/>
    </xf>
    <xf numFmtId="0" fontId="15" fillId="0" borderId="24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wrapText="1" shrinkToFit="1"/>
    </xf>
    <xf numFmtId="0" fontId="26" fillId="0" borderId="0" xfId="0" applyFont="1" applyBorder="1" applyAlignment="1">
      <alignment horizontal="center" wrapText="1" shrinkToFit="1"/>
    </xf>
    <xf numFmtId="49" fontId="14" fillId="0" borderId="48" xfId="0" applyNumberFormat="1" applyFont="1" applyBorder="1" applyAlignment="1">
      <alignment horizontal="center"/>
    </xf>
    <xf numFmtId="49" fontId="14" fillId="0" borderId="1" xfId="0" applyNumberFormat="1" applyFont="1" applyBorder="1" applyAlignment="1">
      <alignment horizontal="center"/>
    </xf>
    <xf numFmtId="49" fontId="14" fillId="0" borderId="57" xfId="0" applyNumberFormat="1" applyFont="1" applyBorder="1" applyAlignment="1">
      <alignment horizontal="center"/>
    </xf>
    <xf numFmtId="0" fontId="14" fillId="2" borderId="61" xfId="0" applyFont="1" applyFill="1" applyBorder="1" applyAlignment="1">
      <alignment horizontal="center"/>
    </xf>
    <xf numFmtId="0" fontId="14" fillId="2" borderId="27" xfId="0" applyFont="1" applyFill="1" applyBorder="1" applyAlignment="1">
      <alignment horizontal="center"/>
    </xf>
    <xf numFmtId="49" fontId="14" fillId="0" borderId="27" xfId="0" applyNumberFormat="1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60" xfId="0" applyFont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37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0" fontId="15" fillId="2" borderId="59" xfId="0" applyFont="1" applyFill="1" applyBorder="1" applyAlignment="1">
      <alignment horizontal="center" wrapText="1"/>
    </xf>
    <xf numFmtId="0" fontId="15" fillId="2" borderId="10" xfId="0" applyFont="1" applyFill="1" applyBorder="1" applyAlignment="1">
      <alignment horizontal="center" wrapText="1"/>
    </xf>
    <xf numFmtId="0" fontId="15" fillId="2" borderId="14" xfId="0" applyFont="1" applyFill="1" applyBorder="1" applyAlignment="1">
      <alignment horizontal="center" wrapText="1"/>
    </xf>
    <xf numFmtId="0" fontId="15" fillId="2" borderId="22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5" fillId="2" borderId="17" xfId="0" applyFont="1" applyFill="1" applyBorder="1" applyAlignment="1">
      <alignment horizontal="center" wrapText="1"/>
    </xf>
    <xf numFmtId="0" fontId="15" fillId="2" borderId="59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7" xfId="0" applyFont="1" applyFill="1" applyBorder="1" applyAlignment="1">
      <alignment horizontal="center" vertical="center" wrapText="1"/>
    </xf>
    <xf numFmtId="0" fontId="15" fillId="2" borderId="25" xfId="0" applyFont="1" applyFill="1" applyBorder="1" applyAlignment="1">
      <alignment horizontal="center"/>
    </xf>
    <xf numFmtId="0" fontId="13" fillId="0" borderId="64" xfId="0" applyFont="1" applyFill="1" applyBorder="1" applyAlignment="1">
      <alignment horizontal="center"/>
    </xf>
    <xf numFmtId="0" fontId="13" fillId="0" borderId="44" xfId="0" applyFont="1" applyFill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8" fillId="2" borderId="62" xfId="0" applyFont="1" applyFill="1" applyBorder="1" applyAlignment="1" applyProtection="1">
      <alignment horizontal="center" vertical="center" wrapText="1"/>
      <protection locked="0"/>
    </xf>
    <xf numFmtId="0" fontId="18" fillId="2" borderId="49" xfId="0" applyFont="1" applyFill="1" applyBorder="1" applyAlignment="1" applyProtection="1">
      <alignment horizontal="center" vertical="center" wrapText="1"/>
      <protection locked="0"/>
    </xf>
    <xf numFmtId="0" fontId="18" fillId="2" borderId="63" xfId="0" applyFont="1" applyFill="1" applyBorder="1" applyAlignment="1" applyProtection="1">
      <alignment horizontal="center" vertical="center" wrapText="1"/>
      <protection locked="0"/>
    </xf>
    <xf numFmtId="0" fontId="13" fillId="0" borderId="79" xfId="0" applyFont="1" applyBorder="1" applyAlignment="1">
      <alignment horizontal="center" vertical="center" wrapText="1"/>
    </xf>
    <xf numFmtId="0" fontId="13" fillId="0" borderId="49" xfId="0" applyFont="1" applyBorder="1" applyAlignment="1">
      <alignment horizontal="center" vertical="center" wrapText="1"/>
    </xf>
    <xf numFmtId="0" fontId="15" fillId="0" borderId="75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78" xfId="0" applyFont="1" applyBorder="1" applyAlignment="1">
      <alignment horizontal="center" vertical="center" wrapText="1"/>
    </xf>
    <xf numFmtId="0" fontId="15" fillId="0" borderId="78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textRotation="90" wrapText="1" shrinkToFit="1"/>
    </xf>
    <xf numFmtId="0" fontId="9" fillId="0" borderId="51" xfId="0" applyFont="1" applyBorder="1" applyAlignment="1">
      <alignment horizontal="center" textRotation="90" wrapText="1" shrinkToFit="1"/>
    </xf>
    <xf numFmtId="0" fontId="9" fillId="0" borderId="29" xfId="0" applyFont="1" applyBorder="1" applyAlignment="1">
      <alignment horizontal="center" textRotation="90" wrapText="1" shrinkToFit="1"/>
    </xf>
    <xf numFmtId="0" fontId="15" fillId="0" borderId="75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77" xfId="0" applyFont="1" applyBorder="1" applyAlignment="1">
      <alignment horizontal="center" vertical="center" wrapText="1"/>
    </xf>
    <xf numFmtId="0" fontId="15" fillId="0" borderId="67" xfId="0" applyFont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16" fillId="0" borderId="69" xfId="0" applyFont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0" fontId="15" fillId="0" borderId="3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40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76" xfId="0" applyFont="1" applyBorder="1" applyAlignment="1">
      <alignment horizontal="center" vertical="center"/>
    </xf>
    <xf numFmtId="0" fontId="9" fillId="0" borderId="46" xfId="0" applyFont="1" applyBorder="1" applyAlignment="1">
      <alignment horizontal="left" vertical="center" textRotation="45" wrapText="1"/>
    </xf>
    <xf numFmtId="0" fontId="9" fillId="0" borderId="47" xfId="0" applyFont="1" applyBorder="1" applyAlignment="1">
      <alignment horizontal="left" vertical="center" textRotation="45" wrapText="1"/>
    </xf>
    <xf numFmtId="0" fontId="15" fillId="0" borderId="3" xfId="0" applyFont="1" applyBorder="1" applyAlignment="1">
      <alignment horizontal="center"/>
    </xf>
    <xf numFmtId="0" fontId="15" fillId="0" borderId="33" xfId="0" applyFont="1" applyBorder="1" applyAlignment="1">
      <alignment horizontal="center"/>
    </xf>
    <xf numFmtId="0" fontId="11" fillId="2" borderId="77" xfId="0" applyFont="1" applyFill="1" applyBorder="1" applyAlignment="1">
      <alignment horizontal="center" vertical="center" wrapText="1"/>
    </xf>
    <xf numFmtId="0" fontId="11" fillId="2" borderId="78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3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20" xfId="0" applyFont="1" applyFill="1" applyBorder="1" applyAlignment="1">
      <alignment horizontal="left" vertical="center"/>
    </xf>
    <xf numFmtId="0" fontId="6" fillId="0" borderId="22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13" fillId="0" borderId="79" xfId="0" applyFont="1" applyBorder="1" applyAlignment="1">
      <alignment horizontal="center" wrapText="1"/>
    </xf>
    <xf numFmtId="0" fontId="15" fillId="0" borderId="5" xfId="0" applyFont="1" applyBorder="1" applyAlignment="1">
      <alignment horizontal="center" wrapText="1"/>
    </xf>
    <xf numFmtId="0" fontId="6" fillId="0" borderId="27" xfId="0" applyFont="1" applyBorder="1" applyAlignment="1">
      <alignment horizontal="center" textRotation="90" wrapText="1"/>
    </xf>
    <xf numFmtId="0" fontId="6" fillId="0" borderId="51" xfId="0" applyFont="1" applyBorder="1" applyAlignment="1">
      <alignment horizontal="center" textRotation="90" wrapText="1"/>
    </xf>
    <xf numFmtId="0" fontId="6" fillId="0" borderId="29" xfId="0" applyFont="1" applyBorder="1" applyAlignment="1">
      <alignment horizontal="center" textRotation="90" wrapText="1"/>
    </xf>
    <xf numFmtId="0" fontId="6" fillId="0" borderId="72" xfId="0" applyFont="1" applyBorder="1" applyAlignment="1">
      <alignment horizontal="center" textRotation="90" wrapText="1"/>
    </xf>
    <xf numFmtId="0" fontId="6" fillId="0" borderId="52" xfId="0" applyFont="1" applyBorder="1" applyAlignment="1">
      <alignment horizontal="center" textRotation="90" wrapText="1"/>
    </xf>
    <xf numFmtId="0" fontId="6" fillId="0" borderId="41" xfId="0" applyFont="1" applyBorder="1" applyAlignment="1">
      <alignment horizontal="center" textRotation="90" wrapText="1"/>
    </xf>
    <xf numFmtId="0" fontId="9" fillId="0" borderId="61" xfId="0" applyFont="1" applyBorder="1" applyAlignment="1">
      <alignment horizontal="center" textRotation="90" wrapText="1"/>
    </xf>
    <xf numFmtId="0" fontId="9" fillId="0" borderId="16" xfId="0" applyFont="1" applyBorder="1" applyAlignment="1">
      <alignment horizontal="center" textRotation="90" wrapText="1"/>
    </xf>
    <xf numFmtId="0" fontId="9" fillId="0" borderId="20" xfId="0" applyFont="1" applyBorder="1" applyAlignment="1">
      <alignment horizontal="center" textRotation="90" wrapText="1"/>
    </xf>
    <xf numFmtId="0" fontId="13" fillId="0" borderId="74" xfId="0" applyFont="1" applyBorder="1" applyAlignment="1">
      <alignment horizontal="center" vertical="center" wrapText="1"/>
    </xf>
    <xf numFmtId="40" fontId="15" fillId="0" borderId="2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4" fillId="10" borderId="61" xfId="2" applyFont="1" applyFill="1" applyBorder="1" applyAlignment="1">
      <alignment horizontal="center"/>
    </xf>
    <xf numFmtId="0" fontId="14" fillId="10" borderId="27" xfId="2" applyFont="1" applyFill="1" applyBorder="1" applyAlignment="1">
      <alignment horizontal="center"/>
    </xf>
    <xf numFmtId="49" fontId="15" fillId="0" borderId="27" xfId="2" applyNumberFormat="1" applyFont="1" applyBorder="1" applyAlignment="1">
      <alignment horizontal="left" vertical="center" wrapText="1"/>
    </xf>
    <xf numFmtId="0" fontId="15" fillId="0" borderId="27" xfId="2" applyFont="1" applyBorder="1" applyAlignment="1">
      <alignment vertical="center"/>
    </xf>
    <xf numFmtId="0" fontId="15" fillId="0" borderId="60" xfId="2" applyFont="1" applyBorder="1" applyAlignment="1">
      <alignment vertical="center"/>
    </xf>
    <xf numFmtId="0" fontId="15" fillId="0" borderId="19" xfId="2" applyFont="1" applyBorder="1" applyAlignment="1">
      <alignment vertical="center"/>
    </xf>
    <xf numFmtId="0" fontId="11" fillId="0" borderId="20" xfId="2" applyBorder="1" applyAlignment="1">
      <alignment vertical="center"/>
    </xf>
    <xf numFmtId="0" fontId="15" fillId="0" borderId="48" xfId="2" applyFont="1" applyBorder="1" applyAlignment="1">
      <alignment horizontal="center" vertical="center"/>
    </xf>
    <xf numFmtId="0" fontId="15" fillId="0" borderId="30" xfId="2" applyFont="1" applyBorder="1" applyAlignment="1">
      <alignment horizontal="center" vertical="center"/>
    </xf>
    <xf numFmtId="0" fontId="15" fillId="0" borderId="59" xfId="2" applyFont="1" applyFill="1" applyBorder="1" applyAlignment="1">
      <alignment horizontal="center" vertical="center" wrapText="1"/>
    </xf>
    <xf numFmtId="0" fontId="15" fillId="0" borderId="13" xfId="2" applyFont="1" applyFill="1" applyBorder="1" applyAlignment="1">
      <alignment horizontal="center" vertical="center" wrapText="1"/>
    </xf>
    <xf numFmtId="0" fontId="15" fillId="0" borderId="25" xfId="2" applyFont="1" applyFill="1" applyBorder="1" applyAlignment="1">
      <alignment horizontal="center" vertical="center" wrapText="1"/>
    </xf>
    <xf numFmtId="0" fontId="15" fillId="0" borderId="7" xfId="2" applyFont="1" applyFill="1" applyBorder="1" applyAlignment="1">
      <alignment horizontal="center" vertical="center" wrapText="1"/>
    </xf>
    <xf numFmtId="0" fontId="15" fillId="0" borderId="9" xfId="2" applyFont="1" applyFill="1" applyBorder="1" applyAlignment="1">
      <alignment horizontal="center" vertical="center" wrapText="1"/>
    </xf>
    <xf numFmtId="0" fontId="15" fillId="0" borderId="10" xfId="2" applyFont="1" applyFill="1" applyBorder="1" applyAlignment="1">
      <alignment horizontal="center" vertical="center" wrapText="1"/>
    </xf>
    <xf numFmtId="0" fontId="15" fillId="0" borderId="6" xfId="2" applyFont="1" applyFill="1" applyBorder="1" applyAlignment="1">
      <alignment horizontal="center" vertical="center" wrapText="1"/>
    </xf>
    <xf numFmtId="0" fontId="15" fillId="0" borderId="5" xfId="2" applyFont="1" applyFill="1" applyBorder="1" applyAlignment="1">
      <alignment horizontal="center" vertical="center" wrapText="1"/>
    </xf>
    <xf numFmtId="0" fontId="15" fillId="0" borderId="19" xfId="2" applyFont="1" applyBorder="1" applyAlignment="1">
      <alignment horizontal="center" vertical="center"/>
    </xf>
    <xf numFmtId="0" fontId="15" fillId="0" borderId="18" xfId="2" applyFont="1" applyBorder="1" applyAlignment="1">
      <alignment horizontal="center" vertical="center"/>
    </xf>
    <xf numFmtId="0" fontId="15" fillId="0" borderId="32" xfId="2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5" fillId="0" borderId="26" xfId="2" applyFont="1" applyBorder="1" applyAlignment="1">
      <alignment horizontal="center" vertical="center"/>
    </xf>
    <xf numFmtId="0" fontId="15" fillId="0" borderId="4" xfId="2" applyFont="1" applyBorder="1" applyAlignment="1">
      <alignment vertical="center"/>
    </xf>
    <xf numFmtId="0" fontId="15" fillId="0" borderId="48" xfId="2" applyFont="1" applyBorder="1" applyAlignment="1">
      <alignment vertical="center"/>
    </xf>
    <xf numFmtId="0" fontId="11" fillId="0" borderId="57" xfId="2" applyBorder="1" applyAlignment="1">
      <alignment vertical="center"/>
    </xf>
    <xf numFmtId="0" fontId="13" fillId="0" borderId="42" xfId="2" applyFont="1" applyBorder="1" applyAlignment="1">
      <alignment horizontal="center" vertical="center" textRotation="90"/>
    </xf>
    <xf numFmtId="0" fontId="13" fillId="0" borderId="65" xfId="2" applyFont="1" applyBorder="1" applyAlignment="1">
      <alignment horizontal="center" vertical="center" textRotation="90"/>
    </xf>
    <xf numFmtId="0" fontId="13" fillId="0" borderId="64" xfId="2" applyFont="1" applyFill="1" applyBorder="1" applyAlignment="1">
      <alignment horizontal="center" vertical="center"/>
    </xf>
    <xf numFmtId="0" fontId="13" fillId="0" borderId="44" xfId="2" applyFont="1" applyFill="1" applyBorder="1" applyAlignment="1">
      <alignment horizontal="center" vertical="center"/>
    </xf>
    <xf numFmtId="0" fontId="15" fillId="0" borderId="10" xfId="2" applyFont="1" applyFill="1" applyBorder="1" applyAlignment="1">
      <alignment horizontal="center" vertical="center"/>
    </xf>
    <xf numFmtId="0" fontId="15" fillId="0" borderId="13" xfId="2" applyFont="1" applyFill="1" applyBorder="1" applyAlignment="1">
      <alignment horizontal="center" vertical="center"/>
    </xf>
    <xf numFmtId="0" fontId="15" fillId="0" borderId="9" xfId="2" applyFont="1" applyFill="1" applyBorder="1" applyAlignment="1">
      <alignment horizontal="center" vertical="center"/>
    </xf>
    <xf numFmtId="0" fontId="15" fillId="0" borderId="14" xfId="2" applyFont="1" applyFill="1" applyBorder="1" applyAlignment="1">
      <alignment horizontal="center" vertical="center"/>
    </xf>
    <xf numFmtId="0" fontId="15" fillId="0" borderId="22" xfId="2" applyFont="1" applyFill="1" applyBorder="1" applyAlignment="1">
      <alignment horizontal="center" wrapText="1"/>
    </xf>
    <xf numFmtId="0" fontId="15" fillId="0" borderId="0" xfId="2" applyFont="1" applyFill="1" applyBorder="1" applyAlignment="1">
      <alignment horizontal="center"/>
    </xf>
    <xf numFmtId="0" fontId="15" fillId="0" borderId="16" xfId="2" applyFont="1" applyFill="1" applyBorder="1" applyAlignment="1">
      <alignment horizontal="center"/>
    </xf>
    <xf numFmtId="0" fontId="15" fillId="0" borderId="37" xfId="2" applyFont="1" applyFill="1" applyBorder="1" applyAlignment="1">
      <alignment horizontal="center"/>
    </xf>
    <xf numFmtId="0" fontId="15" fillId="0" borderId="18" xfId="2" applyFont="1" applyFill="1" applyBorder="1" applyAlignment="1">
      <alignment horizontal="center"/>
    </xf>
    <xf numFmtId="0" fontId="15" fillId="0" borderId="20" xfId="2" applyFont="1" applyFill="1" applyBorder="1" applyAlignment="1">
      <alignment horizontal="center"/>
    </xf>
    <xf numFmtId="49" fontId="15" fillId="0" borderId="15" xfId="2" applyNumberFormat="1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15" fillId="0" borderId="17" xfId="2" applyFont="1" applyFill="1" applyBorder="1" applyAlignment="1">
      <alignment horizontal="center" vertical="center"/>
    </xf>
    <xf numFmtId="0" fontId="15" fillId="0" borderId="19" xfId="2" applyFont="1" applyFill="1" applyBorder="1" applyAlignment="1">
      <alignment horizontal="center" vertical="center"/>
    </xf>
    <xf numFmtId="0" fontId="15" fillId="0" borderId="18" xfId="2" applyFont="1" applyFill="1" applyBorder="1" applyAlignment="1">
      <alignment horizontal="center" vertical="center"/>
    </xf>
    <xf numFmtId="0" fontId="15" fillId="0" borderId="21" xfId="2" applyFont="1" applyFill="1" applyBorder="1" applyAlignment="1">
      <alignment horizontal="center" vertical="center"/>
    </xf>
    <xf numFmtId="0" fontId="15" fillId="0" borderId="22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17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10" borderId="59" xfId="2" applyFont="1" applyFill="1" applyBorder="1" applyAlignment="1">
      <alignment horizontal="center" wrapText="1"/>
    </xf>
    <xf numFmtId="0" fontId="15" fillId="10" borderId="10" xfId="2" applyFont="1" applyFill="1" applyBorder="1" applyAlignment="1">
      <alignment horizontal="center" wrapText="1"/>
    </xf>
    <xf numFmtId="0" fontId="15" fillId="10" borderId="14" xfId="2" applyFont="1" applyFill="1" applyBorder="1" applyAlignment="1">
      <alignment horizontal="center" wrapText="1"/>
    </xf>
    <xf numFmtId="0" fontId="15" fillId="10" borderId="22" xfId="2" applyFont="1" applyFill="1" applyBorder="1" applyAlignment="1">
      <alignment horizontal="center" wrapText="1"/>
    </xf>
    <xf numFmtId="0" fontId="15" fillId="10" borderId="0" xfId="2" applyFont="1" applyFill="1" applyBorder="1" applyAlignment="1">
      <alignment horizontal="center" wrapText="1"/>
    </xf>
    <xf numFmtId="0" fontId="15" fillId="10" borderId="17" xfId="2" applyFont="1" applyFill="1" applyBorder="1" applyAlignment="1">
      <alignment horizontal="center" wrapText="1"/>
    </xf>
    <xf numFmtId="0" fontId="15" fillId="10" borderId="59" xfId="2" applyFont="1" applyFill="1" applyBorder="1" applyAlignment="1">
      <alignment horizontal="center" vertical="center"/>
    </xf>
    <xf numFmtId="0" fontId="15" fillId="10" borderId="10" xfId="2" applyFont="1" applyFill="1" applyBorder="1" applyAlignment="1">
      <alignment horizontal="center" vertical="center"/>
    </xf>
    <xf numFmtId="0" fontId="15" fillId="10" borderId="14" xfId="2" applyFont="1" applyFill="1" applyBorder="1" applyAlignment="1">
      <alignment horizontal="center" vertical="center"/>
    </xf>
    <xf numFmtId="0" fontId="15" fillId="10" borderId="22" xfId="2" applyFont="1" applyFill="1" applyBorder="1" applyAlignment="1">
      <alignment horizontal="center" vertical="center"/>
    </xf>
    <xf numFmtId="0" fontId="15" fillId="10" borderId="0" xfId="2" applyFont="1" applyFill="1" applyBorder="1" applyAlignment="1">
      <alignment horizontal="center" vertical="center"/>
    </xf>
    <xf numFmtId="0" fontId="15" fillId="10" borderId="17" xfId="2" applyFont="1" applyFill="1" applyBorder="1" applyAlignment="1">
      <alignment horizontal="center" vertical="center"/>
    </xf>
    <xf numFmtId="0" fontId="15" fillId="10" borderId="22" xfId="2" applyFont="1" applyFill="1" applyBorder="1" applyAlignment="1">
      <alignment horizontal="center" vertical="center" wrapText="1"/>
    </xf>
    <xf numFmtId="0" fontId="15" fillId="10" borderId="0" xfId="2" applyFont="1" applyFill="1" applyBorder="1" applyAlignment="1">
      <alignment horizontal="center" vertical="center" wrapText="1"/>
    </xf>
    <xf numFmtId="0" fontId="15" fillId="10" borderId="17" xfId="2" applyFont="1" applyFill="1" applyBorder="1" applyAlignment="1">
      <alignment horizontal="center" vertical="center" wrapText="1"/>
    </xf>
    <xf numFmtId="0" fontId="15" fillId="10" borderId="25" xfId="2" applyFont="1" applyFill="1" applyBorder="1" applyAlignment="1">
      <alignment horizontal="center" vertical="center" wrapText="1"/>
    </xf>
    <xf numFmtId="0" fontId="15" fillId="10" borderId="5" xfId="2" applyFont="1" applyFill="1" applyBorder="1" applyAlignment="1">
      <alignment horizontal="center" vertical="center" wrapText="1"/>
    </xf>
    <xf numFmtId="0" fontId="15" fillId="10" borderId="8" xfId="2" applyFont="1" applyFill="1" applyBorder="1" applyAlignment="1">
      <alignment horizontal="center" vertical="center" wrapText="1"/>
    </xf>
    <xf numFmtId="0" fontId="15" fillId="10" borderId="62" xfId="2" applyFont="1" applyFill="1" applyBorder="1" applyAlignment="1">
      <alignment horizontal="center" vertical="center" shrinkToFit="1"/>
    </xf>
    <xf numFmtId="0" fontId="11" fillId="10" borderId="49" xfId="2" applyFill="1" applyBorder="1" applyAlignment="1">
      <alignment shrinkToFit="1"/>
    </xf>
    <xf numFmtId="0" fontId="11" fillId="10" borderId="63" xfId="2" applyFill="1" applyBorder="1" applyAlignment="1">
      <alignment shrinkToFit="1"/>
    </xf>
    <xf numFmtId="0" fontId="15" fillId="10" borderId="25" xfId="2" applyFont="1" applyFill="1" applyBorder="1" applyAlignment="1">
      <alignment horizontal="center" vertical="center"/>
    </xf>
    <xf numFmtId="0" fontId="15" fillId="10" borderId="5" xfId="2" applyFont="1" applyFill="1" applyBorder="1" applyAlignment="1">
      <alignment horizontal="center" vertical="center"/>
    </xf>
    <xf numFmtId="0" fontId="15" fillId="10" borderId="8" xfId="2" applyFont="1" applyFill="1" applyBorder="1" applyAlignment="1">
      <alignment horizontal="center" vertical="center"/>
    </xf>
    <xf numFmtId="0" fontId="62" fillId="7" borderId="0" xfId="2" applyFont="1" applyFill="1" applyBorder="1" applyAlignment="1">
      <alignment vertical="center"/>
    </xf>
    <xf numFmtId="0" fontId="28" fillId="7" borderId="0" xfId="2" applyFont="1" applyFill="1" applyAlignment="1">
      <alignment vertical="center"/>
    </xf>
    <xf numFmtId="0" fontId="15" fillId="0" borderId="15" xfId="2" applyFont="1" applyFill="1" applyBorder="1" applyAlignment="1">
      <alignment horizontal="center" vertical="center" wrapText="1"/>
    </xf>
    <xf numFmtId="0" fontId="11" fillId="0" borderId="17" xfId="2" applyFont="1" applyFill="1" applyBorder="1"/>
    <xf numFmtId="0" fontId="15" fillId="0" borderId="46" xfId="2" applyFont="1" applyBorder="1" applyAlignment="1">
      <alignment horizontal="center" vertical="center" wrapText="1"/>
    </xf>
    <xf numFmtId="0" fontId="15" fillId="0" borderId="47" xfId="2" applyFont="1" applyBorder="1" applyAlignment="1">
      <alignment horizontal="center" vertical="center" wrapText="1"/>
    </xf>
    <xf numFmtId="0" fontId="15" fillId="0" borderId="44" xfId="2" applyFont="1" applyBorder="1" applyAlignment="1">
      <alignment horizontal="center" vertical="center" wrapText="1"/>
    </xf>
    <xf numFmtId="0" fontId="15" fillId="0" borderId="62" xfId="2" applyFont="1" applyFill="1" applyBorder="1" applyAlignment="1" applyProtection="1">
      <alignment horizontal="center" wrapText="1"/>
      <protection locked="0"/>
    </xf>
    <xf numFmtId="0" fontId="15" fillId="0" borderId="49" xfId="2" applyFont="1" applyFill="1" applyBorder="1" applyAlignment="1" applyProtection="1">
      <alignment horizontal="center" wrapText="1"/>
      <protection locked="0"/>
    </xf>
    <xf numFmtId="0" fontId="15" fillId="0" borderId="82" xfId="2" applyFont="1" applyBorder="1" applyAlignment="1">
      <alignment horizontal="center" vertical="center"/>
    </xf>
    <xf numFmtId="0" fontId="15" fillId="0" borderId="83" xfId="2" applyFont="1" applyBorder="1" applyAlignment="1">
      <alignment horizontal="center" vertical="center"/>
    </xf>
    <xf numFmtId="0" fontId="15" fillId="0" borderId="101" xfId="2" applyFont="1" applyBorder="1" applyAlignment="1">
      <alignment horizontal="center" vertical="center"/>
    </xf>
    <xf numFmtId="0" fontId="15" fillId="0" borderId="62" xfId="2" applyFont="1" applyFill="1" applyBorder="1" applyAlignment="1" applyProtection="1">
      <alignment horizontal="center" vertical="center" wrapText="1"/>
      <protection locked="0"/>
    </xf>
    <xf numFmtId="0" fontId="15" fillId="0" borderId="49" xfId="2" applyFont="1" applyFill="1" applyBorder="1" applyAlignment="1" applyProtection="1">
      <alignment horizontal="center" vertical="center" wrapText="1"/>
      <protection locked="0"/>
    </xf>
    <xf numFmtId="0" fontId="15" fillId="0" borderId="63" xfId="2" applyFont="1" applyFill="1" applyBorder="1" applyAlignment="1" applyProtection="1">
      <alignment horizontal="center" vertical="center" wrapText="1"/>
      <protection locked="0"/>
    </xf>
    <xf numFmtId="0" fontId="24" fillId="0" borderId="59" xfId="2" applyFont="1" applyFill="1" applyBorder="1" applyAlignment="1">
      <alignment horizontal="center" wrapText="1"/>
    </xf>
    <xf numFmtId="0" fontId="24" fillId="0" borderId="10" xfId="2" applyFont="1" applyFill="1" applyBorder="1" applyAlignment="1">
      <alignment horizontal="center" wrapText="1"/>
    </xf>
    <xf numFmtId="0" fontId="24" fillId="0" borderId="14" xfId="2" applyFont="1" applyFill="1" applyBorder="1" applyAlignment="1">
      <alignment horizontal="center" wrapText="1"/>
    </xf>
    <xf numFmtId="0" fontId="24" fillId="0" borderId="22" xfId="2" applyFont="1" applyFill="1" applyBorder="1" applyAlignment="1">
      <alignment horizontal="center" wrapText="1"/>
    </xf>
    <xf numFmtId="0" fontId="24" fillId="0" borderId="0" xfId="2" applyFont="1" applyFill="1" applyBorder="1" applyAlignment="1">
      <alignment horizontal="center" wrapText="1"/>
    </xf>
    <xf numFmtId="0" fontId="24" fillId="0" borderId="17" xfId="2" applyFont="1" applyFill="1" applyBorder="1" applyAlignment="1">
      <alignment horizontal="center" wrapText="1"/>
    </xf>
    <xf numFmtId="0" fontId="24" fillId="0" borderId="25" xfId="2" applyFont="1" applyFill="1" applyBorder="1" applyAlignment="1">
      <alignment horizontal="center" wrapText="1"/>
    </xf>
    <xf numFmtId="0" fontId="24" fillId="0" borderId="5" xfId="2" applyFont="1" applyFill="1" applyBorder="1" applyAlignment="1">
      <alignment horizontal="center" wrapText="1"/>
    </xf>
    <xf numFmtId="0" fontId="24" fillId="0" borderId="8" xfId="2" applyFont="1" applyFill="1" applyBorder="1" applyAlignment="1">
      <alignment horizontal="center" wrapText="1"/>
    </xf>
    <xf numFmtId="0" fontId="11" fillId="0" borderId="17" xfId="2" applyFont="1" applyFill="1" applyBorder="1" applyAlignment="1">
      <alignment vertical="center"/>
    </xf>
    <xf numFmtId="0" fontId="15" fillId="0" borderId="57" xfId="2" applyFont="1" applyBorder="1" applyAlignment="1">
      <alignment horizontal="center" vertical="center"/>
    </xf>
    <xf numFmtId="0" fontId="15" fillId="0" borderId="6" xfId="2" applyFont="1" applyBorder="1" applyAlignment="1">
      <alignment vertical="center"/>
    </xf>
    <xf numFmtId="0" fontId="11" fillId="0" borderId="7" xfId="2" applyBorder="1" applyAlignment="1">
      <alignment vertical="center"/>
    </xf>
    <xf numFmtId="0" fontId="15" fillId="0" borderId="84" xfId="2" applyFont="1" applyBorder="1" applyAlignment="1">
      <alignment horizontal="center" vertical="center"/>
    </xf>
    <xf numFmtId="0" fontId="14" fillId="10" borderId="57" xfId="2" applyFont="1" applyFill="1" applyBorder="1" applyAlignment="1">
      <alignment horizontal="center"/>
    </xf>
    <xf numFmtId="0" fontId="14" fillId="10" borderId="4" xfId="2" applyFont="1" applyFill="1" applyBorder="1" applyAlignment="1">
      <alignment horizontal="center"/>
    </xf>
    <xf numFmtId="49" fontId="15" fillId="0" borderId="4" xfId="2" applyNumberFormat="1" applyFont="1" applyBorder="1" applyAlignment="1">
      <alignment horizontal="left" vertical="center" wrapText="1"/>
    </xf>
    <xf numFmtId="0" fontId="13" fillId="0" borderId="50" xfId="2" applyFont="1" applyBorder="1" applyAlignment="1">
      <alignment horizontal="center" vertical="center" textRotation="90"/>
    </xf>
    <xf numFmtId="40" fontId="15" fillId="0" borderId="47" xfId="2" applyNumberFormat="1" applyFont="1" applyBorder="1" applyAlignment="1">
      <alignment horizontal="left" vertical="center"/>
    </xf>
    <xf numFmtId="0" fontId="15" fillId="0" borderId="47" xfId="2" applyFont="1" applyBorder="1" applyAlignment="1">
      <alignment horizontal="left" vertical="center"/>
    </xf>
    <xf numFmtId="0" fontId="15" fillId="0" borderId="66" xfId="2" applyFont="1" applyBorder="1" applyAlignment="1">
      <alignment horizontal="left" vertical="center"/>
    </xf>
    <xf numFmtId="49" fontId="15" fillId="0" borderId="48" xfId="2" applyNumberFormat="1" applyFont="1" applyBorder="1" applyAlignment="1">
      <alignment horizontal="left" vertical="center" wrapText="1"/>
    </xf>
    <xf numFmtId="49" fontId="15" fillId="0" borderId="1" xfId="2" applyNumberFormat="1" applyFont="1" applyBorder="1" applyAlignment="1">
      <alignment horizontal="left" vertical="center" wrapText="1"/>
    </xf>
    <xf numFmtId="49" fontId="15" fillId="0" borderId="57" xfId="2" applyNumberFormat="1" applyFont="1" applyBorder="1" applyAlignment="1">
      <alignment horizontal="left" vertical="center" wrapText="1"/>
    </xf>
    <xf numFmtId="0" fontId="15" fillId="0" borderId="48" xfId="2" applyFont="1" applyBorder="1" applyAlignment="1">
      <alignment horizontal="left" vertical="top" wrapText="1"/>
    </xf>
    <xf numFmtId="0" fontId="11" fillId="0" borderId="1" xfId="2" applyBorder="1" applyAlignment="1">
      <alignment vertical="top"/>
    </xf>
    <xf numFmtId="0" fontId="15" fillId="0" borderId="1" xfId="2" applyFont="1" applyBorder="1" applyAlignment="1">
      <alignment horizontal="left" vertical="center" wrapText="1"/>
    </xf>
    <xf numFmtId="0" fontId="9" fillId="0" borderId="1" xfId="2" applyFont="1" applyBorder="1" applyAlignment="1">
      <alignment vertical="top" wrapText="1"/>
    </xf>
    <xf numFmtId="0" fontId="9" fillId="0" borderId="1" xfId="2" applyFont="1" applyBorder="1" applyAlignment="1">
      <alignment vertical="top"/>
    </xf>
    <xf numFmtId="0" fontId="15" fillId="0" borderId="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1" fillId="10" borderId="20" xfId="2" applyFont="1" applyFill="1" applyBorder="1" applyAlignment="1">
      <alignment horizontal="center" vertical="center" wrapText="1"/>
    </xf>
    <xf numFmtId="0" fontId="11" fillId="10" borderId="29" xfId="2" applyFont="1" applyFill="1" applyBorder="1" applyAlignment="1">
      <alignment horizontal="center" vertical="center"/>
    </xf>
    <xf numFmtId="40" fontId="15" fillId="0" borderId="1" xfId="2" applyNumberFormat="1" applyFont="1" applyBorder="1" applyAlignment="1">
      <alignment horizontal="left" vertical="center" wrapText="1"/>
    </xf>
    <xf numFmtId="0" fontId="15" fillId="0" borderId="30" xfId="2" applyFont="1" applyBorder="1" applyAlignment="1">
      <alignment horizontal="left" vertical="center" wrapText="1"/>
    </xf>
    <xf numFmtId="0" fontId="13" fillId="0" borderId="62" xfId="2" applyFont="1" applyFill="1" applyBorder="1" applyAlignment="1" applyProtection="1">
      <alignment horizontal="center" vertical="center" wrapText="1"/>
      <protection locked="0"/>
    </xf>
    <xf numFmtId="0" fontId="13" fillId="0" borderId="49" xfId="2" applyFont="1" applyFill="1" applyBorder="1" applyAlignment="1" applyProtection="1">
      <alignment horizontal="center" vertical="center" wrapText="1"/>
      <protection locked="0"/>
    </xf>
    <xf numFmtId="0" fontId="13" fillId="0" borderId="63" xfId="2" applyFont="1" applyFill="1" applyBorder="1" applyAlignment="1" applyProtection="1">
      <alignment horizontal="center" vertical="center" wrapText="1"/>
      <protection locked="0"/>
    </xf>
    <xf numFmtId="0" fontId="15" fillId="0" borderId="14" xfId="2" applyFont="1" applyFill="1" applyBorder="1" applyAlignment="1">
      <alignment horizontal="center" vertical="center" wrapText="1"/>
    </xf>
    <xf numFmtId="0" fontId="15" fillId="0" borderId="8" xfId="2" applyFont="1" applyFill="1" applyBorder="1" applyAlignment="1">
      <alignment horizontal="center" vertical="center" wrapText="1"/>
    </xf>
    <xf numFmtId="0" fontId="15" fillId="0" borderId="18" xfId="2" applyFont="1" applyBorder="1" applyAlignment="1">
      <alignment horizontal="left" vertical="center" wrapText="1"/>
    </xf>
    <xf numFmtId="49" fontId="15" fillId="0" borderId="18" xfId="2" applyNumberFormat="1" applyFont="1" applyBorder="1" applyAlignment="1">
      <alignment horizontal="left" vertical="center" wrapText="1"/>
    </xf>
    <xf numFmtId="0" fontId="15" fillId="0" borderId="21" xfId="2" applyFont="1" applyBorder="1" applyAlignment="1">
      <alignment horizontal="left" vertical="center" wrapText="1"/>
    </xf>
    <xf numFmtId="0" fontId="18" fillId="0" borderId="0" xfId="2" applyFont="1" applyFill="1" applyBorder="1" applyAlignment="1">
      <alignment horizontal="center" textRotation="255" shrinkToFit="1"/>
    </xf>
    <xf numFmtId="0" fontId="15" fillId="0" borderId="16" xfId="2" applyFont="1" applyFill="1" applyBorder="1"/>
    <xf numFmtId="0" fontId="15" fillId="0" borderId="20" xfId="2" applyFont="1" applyFill="1" applyBorder="1"/>
    <xf numFmtId="0" fontId="10" fillId="0" borderId="9" xfId="2" applyFont="1" applyFill="1" applyBorder="1" applyAlignment="1">
      <alignment horizontal="center" wrapText="1"/>
    </xf>
    <xf numFmtId="0" fontId="10" fillId="0" borderId="14" xfId="2" applyFont="1" applyFill="1" applyBorder="1" applyAlignment="1">
      <alignment horizontal="center" wrapText="1"/>
    </xf>
    <xf numFmtId="40" fontId="15" fillId="0" borderId="23" xfId="2" applyNumberFormat="1" applyFont="1" applyBorder="1" applyAlignment="1">
      <alignment horizontal="center"/>
    </xf>
    <xf numFmtId="0" fontId="15" fillId="0" borderId="23" xfId="2" applyFont="1" applyBorder="1" applyAlignment="1">
      <alignment horizontal="center"/>
    </xf>
    <xf numFmtId="0" fontId="15" fillId="0" borderId="23" xfId="2" applyFont="1" applyBorder="1" applyAlignment="1">
      <alignment horizontal="left" vertical="top"/>
    </xf>
    <xf numFmtId="40" fontId="15" fillId="0" borderId="23" xfId="2" applyNumberFormat="1" applyFont="1" applyBorder="1" applyAlignment="1">
      <alignment horizontal="center" vertical="top" wrapText="1"/>
    </xf>
    <xf numFmtId="0" fontId="15" fillId="0" borderId="23" xfId="2" applyFont="1" applyBorder="1" applyAlignment="1">
      <alignment horizontal="center" vertical="top" wrapText="1"/>
    </xf>
    <xf numFmtId="49" fontId="15" fillId="0" borderId="23" xfId="2" applyNumberFormat="1" applyFont="1" applyBorder="1" applyAlignment="1">
      <alignment horizontal="center" wrapText="1"/>
    </xf>
    <xf numFmtId="0" fontId="15" fillId="0" borderId="23" xfId="2" applyFont="1" applyBorder="1" applyAlignment="1">
      <alignment horizontal="center" wrapText="1"/>
    </xf>
    <xf numFmtId="0" fontId="15" fillId="0" borderId="24" xfId="2" applyFont="1" applyBorder="1" applyAlignment="1">
      <alignment horizontal="center" wrapText="1"/>
    </xf>
    <xf numFmtId="0" fontId="37" fillId="0" borderId="64" xfId="2" applyNumberFormat="1" applyFont="1" applyFill="1" applyBorder="1" applyAlignment="1">
      <alignment horizontal="center" vertical="center" wrapText="1"/>
    </xf>
    <xf numFmtId="0" fontId="37" fillId="0" borderId="47" xfId="2" applyNumberFormat="1" applyFont="1" applyFill="1" applyBorder="1" applyAlignment="1">
      <alignment horizontal="center" vertical="center" wrapText="1"/>
    </xf>
    <xf numFmtId="0" fontId="37" fillId="0" borderId="66" xfId="2" applyNumberFormat="1" applyFont="1" applyFill="1" applyBorder="1" applyAlignment="1">
      <alignment horizontal="center" vertical="center" wrapText="1"/>
    </xf>
    <xf numFmtId="0" fontId="37" fillId="0" borderId="73" xfId="2" applyNumberFormat="1" applyFont="1" applyFill="1" applyBorder="1" applyAlignment="1">
      <alignment horizontal="center" textRotation="90" wrapText="1"/>
    </xf>
    <xf numFmtId="0" fontId="37" fillId="0" borderId="42" xfId="2" applyNumberFormat="1" applyFont="1" applyFill="1" applyBorder="1" applyAlignment="1">
      <alignment horizontal="center" textRotation="90" wrapText="1"/>
    </xf>
    <xf numFmtId="0" fontId="37" fillId="0" borderId="65" xfId="2" applyNumberFormat="1" applyFont="1" applyFill="1" applyBorder="1" applyAlignment="1">
      <alignment horizontal="center" textRotation="90" wrapText="1"/>
    </xf>
    <xf numFmtId="0" fontId="37" fillId="0" borderId="27" xfId="2" applyNumberFormat="1" applyFont="1" applyFill="1" applyBorder="1" applyAlignment="1">
      <alignment horizontal="center" textRotation="90" wrapText="1"/>
    </xf>
    <xf numFmtId="0" fontId="37" fillId="0" borderId="51" xfId="2" applyNumberFormat="1" applyFont="1" applyFill="1" applyBorder="1" applyAlignment="1">
      <alignment horizontal="center" textRotation="90" wrapText="1"/>
    </xf>
    <xf numFmtId="0" fontId="37" fillId="0" borderId="68" xfId="2" applyNumberFormat="1" applyFont="1" applyFill="1" applyBorder="1" applyAlignment="1">
      <alignment horizontal="center" textRotation="90" wrapText="1"/>
    </xf>
    <xf numFmtId="0" fontId="15" fillId="0" borderId="29" xfId="2" applyFont="1" applyBorder="1" applyAlignment="1">
      <alignment horizontal="center" vertical="center"/>
    </xf>
    <xf numFmtId="40" fontId="15" fillId="0" borderId="19" xfId="2" applyNumberFormat="1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40" fontId="15" fillId="0" borderId="6" xfId="2" applyNumberFormat="1" applyFont="1" applyBorder="1" applyAlignment="1">
      <alignment horizontal="center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5" xfId="2" applyFont="1" applyBorder="1" applyAlignment="1">
      <alignment horizontal="left" vertical="center" wrapText="1"/>
    </xf>
    <xf numFmtId="0" fontId="15" fillId="0" borderId="8" xfId="2" applyFont="1" applyBorder="1" applyAlignment="1">
      <alignment horizontal="left" vertical="center" wrapText="1"/>
    </xf>
    <xf numFmtId="0" fontId="37" fillId="0" borderId="72" xfId="2" applyNumberFormat="1" applyFont="1" applyFill="1" applyBorder="1" applyAlignment="1">
      <alignment horizontal="center" textRotation="90" wrapText="1"/>
    </xf>
    <xf numFmtId="0" fontId="37" fillId="0" borderId="52" xfId="2" applyNumberFormat="1" applyFont="1" applyFill="1" applyBorder="1" applyAlignment="1">
      <alignment horizontal="center" textRotation="90" wrapText="1"/>
    </xf>
    <xf numFmtId="0" fontId="37" fillId="0" borderId="58" xfId="2" applyNumberFormat="1" applyFont="1" applyFill="1" applyBorder="1" applyAlignment="1">
      <alignment horizontal="center" textRotation="90" wrapText="1"/>
    </xf>
    <xf numFmtId="0" fontId="15" fillId="0" borderId="0" xfId="2" applyFont="1" applyBorder="1" applyAlignment="1">
      <alignment horizontal="center"/>
    </xf>
    <xf numFmtId="0" fontId="15" fillId="0" borderId="0" xfId="2" applyFont="1" applyAlignment="1">
      <alignment horizontal="center"/>
    </xf>
    <xf numFmtId="0" fontId="18" fillId="0" borderId="0" xfId="2" applyFont="1" applyBorder="1" applyAlignment="1">
      <alignment horizontal="center" vertical="center"/>
    </xf>
    <xf numFmtId="0" fontId="15" fillId="0" borderId="15" xfId="2" applyFont="1" applyBorder="1" applyAlignment="1">
      <alignment vertical="center"/>
    </xf>
    <xf numFmtId="0" fontId="11" fillId="0" borderId="16" xfId="2" applyBorder="1" applyAlignment="1">
      <alignment vertical="center"/>
    </xf>
    <xf numFmtId="0" fontId="48" fillId="0" borderId="62" xfId="2" applyFont="1" applyFill="1" applyBorder="1" applyAlignment="1" applyProtection="1">
      <alignment horizontal="center" vertical="top" wrapText="1"/>
      <protection locked="0"/>
    </xf>
    <xf numFmtId="0" fontId="48" fillId="0" borderId="49" xfId="2" applyFont="1" applyFill="1" applyBorder="1" applyAlignment="1" applyProtection="1">
      <alignment horizontal="center" vertical="top" wrapText="1"/>
      <protection locked="0"/>
    </xf>
    <xf numFmtId="0" fontId="48" fillId="0" borderId="63" xfId="2" applyFont="1" applyFill="1" applyBorder="1" applyAlignment="1" applyProtection="1">
      <alignment horizontal="center" vertical="top" wrapText="1"/>
      <protection locked="0"/>
    </xf>
    <xf numFmtId="0" fontId="3" fillId="0" borderId="69" xfId="2" applyFont="1" applyFill="1" applyBorder="1" applyAlignment="1">
      <alignment horizontal="center" vertical="center"/>
    </xf>
    <xf numFmtId="0" fontId="11" fillId="0" borderId="69" xfId="2" applyFill="1" applyBorder="1" applyAlignment="1">
      <alignment horizontal="center" vertical="center"/>
    </xf>
    <xf numFmtId="0" fontId="11" fillId="0" borderId="70" xfId="2" applyFill="1" applyBorder="1" applyAlignment="1">
      <alignment horizontal="center" vertical="center"/>
    </xf>
    <xf numFmtId="0" fontId="11" fillId="0" borderId="5" xfId="2" applyFill="1" applyBorder="1" applyAlignment="1">
      <alignment horizontal="center" vertical="center"/>
    </xf>
    <xf numFmtId="0" fontId="11" fillId="0" borderId="71" xfId="2" applyFill="1" applyBorder="1" applyAlignment="1">
      <alignment horizontal="center" vertical="center"/>
    </xf>
    <xf numFmtId="0" fontId="11" fillId="0" borderId="31" xfId="2" applyBorder="1" applyAlignment="1">
      <alignment horizontal="center"/>
    </xf>
    <xf numFmtId="0" fontId="11" fillId="0" borderId="23" xfId="2" applyBorder="1" applyAlignment="1">
      <alignment horizontal="center"/>
    </xf>
    <xf numFmtId="0" fontId="11" fillId="0" borderId="24" xfId="2" applyBorder="1" applyAlignment="1">
      <alignment horizontal="center"/>
    </xf>
    <xf numFmtId="0" fontId="11" fillId="0" borderId="22" xfId="2" applyBorder="1" applyAlignment="1">
      <alignment horizontal="center"/>
    </xf>
    <xf numFmtId="0" fontId="11" fillId="0" borderId="0" xfId="2" applyBorder="1" applyAlignment="1">
      <alignment horizontal="center"/>
    </xf>
    <xf numFmtId="0" fontId="11" fillId="0" borderId="17" xfId="2" applyBorder="1" applyAlignment="1">
      <alignment horizontal="center"/>
    </xf>
    <xf numFmtId="0" fontId="11" fillId="0" borderId="37" xfId="2" applyBorder="1" applyAlignment="1">
      <alignment horizontal="center"/>
    </xf>
    <xf numFmtId="0" fontId="11" fillId="0" borderId="18" xfId="2" applyBorder="1" applyAlignment="1">
      <alignment horizontal="center"/>
    </xf>
    <xf numFmtId="0" fontId="11" fillId="0" borderId="21" xfId="2" applyBorder="1" applyAlignment="1">
      <alignment horizontal="center"/>
    </xf>
    <xf numFmtId="0" fontId="11" fillId="0" borderId="39" xfId="2" applyBorder="1" applyAlignment="1">
      <alignment horizontal="center"/>
    </xf>
    <xf numFmtId="0" fontId="11" fillId="0" borderId="38" xfId="2" applyBorder="1" applyAlignment="1">
      <alignment horizontal="center"/>
    </xf>
    <xf numFmtId="0" fontId="11" fillId="0" borderId="0" xfId="2" applyFont="1" applyBorder="1" applyAlignment="1">
      <alignment horizontal="left" vertical="top"/>
    </xf>
    <xf numFmtId="0" fontId="11" fillId="0" borderId="0" xfId="2" applyBorder="1" applyAlignment="1">
      <alignment horizontal="left" vertical="top"/>
    </xf>
    <xf numFmtId="0" fontId="11" fillId="0" borderId="5" xfId="2" applyBorder="1" applyAlignment="1">
      <alignment horizontal="left" vertical="top"/>
    </xf>
    <xf numFmtId="0" fontId="11" fillId="0" borderId="59" xfId="2" applyFont="1" applyBorder="1" applyAlignment="1">
      <alignment horizontal="left" vertical="top"/>
    </xf>
    <xf numFmtId="0" fontId="11" fillId="0" borderId="10" xfId="2" applyBorder="1" applyAlignment="1">
      <alignment horizontal="left" vertical="top"/>
    </xf>
    <xf numFmtId="0" fontId="11" fillId="0" borderId="15" xfId="2" applyBorder="1" applyAlignment="1">
      <alignment horizontal="center"/>
    </xf>
    <xf numFmtId="0" fontId="11" fillId="0" borderId="16" xfId="2" applyBorder="1" applyAlignment="1">
      <alignment horizontal="center"/>
    </xf>
    <xf numFmtId="0" fontId="9" fillId="7" borderId="59" xfId="2" applyFont="1" applyFill="1" applyBorder="1" applyAlignment="1">
      <alignment horizontal="center" textRotation="90"/>
    </xf>
    <xf numFmtId="0" fontId="9" fillId="7" borderId="10" xfId="2" applyFont="1" applyFill="1" applyBorder="1" applyAlignment="1">
      <alignment horizontal="center" textRotation="90"/>
    </xf>
    <xf numFmtId="0" fontId="9" fillId="7" borderId="14" xfId="2" applyFont="1" applyFill="1" applyBorder="1" applyAlignment="1">
      <alignment horizontal="center" textRotation="90"/>
    </xf>
    <xf numFmtId="0" fontId="9" fillId="7" borderId="22" xfId="2" applyFont="1" applyFill="1" applyBorder="1" applyAlignment="1">
      <alignment horizontal="center" textRotation="90"/>
    </xf>
    <xf numFmtId="0" fontId="9" fillId="7" borderId="0" xfId="2" applyFont="1" applyFill="1" applyBorder="1" applyAlignment="1">
      <alignment horizontal="center" textRotation="90"/>
    </xf>
    <xf numFmtId="0" fontId="9" fillId="7" borderId="17" xfId="2" applyFont="1" applyFill="1" applyBorder="1" applyAlignment="1">
      <alignment horizontal="center" textRotation="90"/>
    </xf>
    <xf numFmtId="0" fontId="9" fillId="7" borderId="25" xfId="2" applyFont="1" applyFill="1" applyBorder="1" applyAlignment="1">
      <alignment horizontal="center" textRotation="90"/>
    </xf>
    <xf numFmtId="0" fontId="9" fillId="7" borderId="5" xfId="2" applyFont="1" applyFill="1" applyBorder="1" applyAlignment="1">
      <alignment horizontal="center" textRotation="90"/>
    </xf>
    <xf numFmtId="0" fontId="9" fillId="7" borderId="8" xfId="2" applyFont="1" applyFill="1" applyBorder="1" applyAlignment="1">
      <alignment horizontal="center" textRotation="90"/>
    </xf>
    <xf numFmtId="0" fontId="11" fillId="0" borderId="47" xfId="2" applyNumberFormat="1" applyBorder="1" applyAlignment="1">
      <alignment horizontal="center" vertical="top"/>
    </xf>
    <xf numFmtId="0" fontId="11" fillId="0" borderId="44" xfId="2" applyNumberFormat="1" applyBorder="1" applyAlignment="1">
      <alignment horizontal="center" vertical="top"/>
    </xf>
    <xf numFmtId="0" fontId="11" fillId="0" borderId="1" xfId="2" applyNumberFormat="1" applyBorder="1" applyAlignment="1">
      <alignment horizontal="center" vertical="top"/>
    </xf>
    <xf numFmtId="0" fontId="11" fillId="0" borderId="57" xfId="2" applyNumberFormat="1" applyBorder="1" applyAlignment="1">
      <alignment horizontal="center" vertical="top"/>
    </xf>
    <xf numFmtId="0" fontId="11" fillId="0" borderId="83" xfId="2" applyNumberFormat="1" applyBorder="1" applyAlignment="1">
      <alignment horizontal="center" vertical="top"/>
    </xf>
    <xf numFmtId="0" fontId="11" fillId="0" borderId="84" xfId="2" applyNumberFormat="1" applyBorder="1" applyAlignment="1">
      <alignment horizontal="center" vertical="top"/>
    </xf>
    <xf numFmtId="0" fontId="15" fillId="7" borderId="48" xfId="2" applyFont="1" applyFill="1" applyBorder="1" applyAlignment="1">
      <alignment horizontal="center" vertical="top"/>
    </xf>
    <xf numFmtId="0" fontId="15" fillId="7" borderId="1" xfId="2" applyFont="1" applyFill="1" applyBorder="1" applyAlignment="1">
      <alignment horizontal="center" vertical="top"/>
    </xf>
    <xf numFmtId="0" fontId="15" fillId="7" borderId="57" xfId="2" applyFont="1" applyFill="1" applyBorder="1" applyAlignment="1">
      <alignment horizontal="center" vertical="top"/>
    </xf>
    <xf numFmtId="0" fontId="11" fillId="0" borderId="25" xfId="2" applyBorder="1" applyAlignment="1">
      <alignment horizontal="center"/>
    </xf>
    <xf numFmtId="0" fontId="11" fillId="0" borderId="5" xfId="2" applyBorder="1" applyAlignment="1">
      <alignment horizontal="center"/>
    </xf>
    <xf numFmtId="0" fontId="11" fillId="0" borderId="8" xfId="2" applyBorder="1" applyAlignment="1">
      <alignment horizontal="center"/>
    </xf>
    <xf numFmtId="0" fontId="11" fillId="0" borderId="6" xfId="2" applyBorder="1" applyAlignment="1">
      <alignment horizontal="center"/>
    </xf>
    <xf numFmtId="0" fontId="11" fillId="0" borderId="7" xfId="2" applyBorder="1" applyAlignment="1">
      <alignment horizontal="center"/>
    </xf>
    <xf numFmtId="0" fontId="11" fillId="0" borderId="4" xfId="2" applyBorder="1" applyAlignment="1">
      <alignment horizontal="center"/>
    </xf>
    <xf numFmtId="0" fontId="11" fillId="0" borderId="48" xfId="2" applyBorder="1" applyAlignment="1">
      <alignment horizontal="center"/>
    </xf>
    <xf numFmtId="0" fontId="11" fillId="0" borderId="27" xfId="2" applyBorder="1" applyAlignment="1">
      <alignment horizontal="center"/>
    </xf>
    <xf numFmtId="0" fontId="11" fillId="0" borderId="60" xfId="2" applyBorder="1" applyAlignment="1">
      <alignment horizontal="center"/>
    </xf>
    <xf numFmtId="0" fontId="11" fillId="0" borderId="72" xfId="2" applyBorder="1" applyAlignment="1">
      <alignment horizontal="center"/>
    </xf>
    <xf numFmtId="0" fontId="11" fillId="0" borderId="56" xfId="2" applyBorder="1" applyAlignment="1">
      <alignment horizontal="center"/>
    </xf>
    <xf numFmtId="0" fontId="11" fillId="0" borderId="82" xfId="2" applyBorder="1" applyAlignment="1">
      <alignment horizontal="center"/>
    </xf>
    <xf numFmtId="0" fontId="11" fillId="0" borderId="85" xfId="2" applyBorder="1" applyAlignment="1">
      <alignment horizontal="center"/>
    </xf>
    <xf numFmtId="0" fontId="11" fillId="0" borderId="73" xfId="2" applyBorder="1" applyAlignment="1">
      <alignment horizontal="center"/>
    </xf>
    <xf numFmtId="0" fontId="11" fillId="0" borderId="55" xfId="2" applyBorder="1" applyAlignment="1">
      <alignment horizontal="center"/>
    </xf>
    <xf numFmtId="0" fontId="11" fillId="0" borderId="53" xfId="2" applyBorder="1" applyAlignment="1">
      <alignment horizontal="center"/>
    </xf>
    <xf numFmtId="0" fontId="11" fillId="0" borderId="54" xfId="2" applyBorder="1" applyAlignment="1">
      <alignment horizontal="center"/>
    </xf>
    <xf numFmtId="0" fontId="11" fillId="0" borderId="40" xfId="2" applyBorder="1" applyAlignment="1">
      <alignment horizontal="center"/>
    </xf>
    <xf numFmtId="0" fontId="11" fillId="0" borderId="41" xfId="2" applyBorder="1" applyAlignment="1">
      <alignment horizontal="center"/>
    </xf>
    <xf numFmtId="0" fontId="11" fillId="0" borderId="47" xfId="2" applyFont="1" applyBorder="1" applyAlignment="1">
      <alignment horizontal="center"/>
    </xf>
    <xf numFmtId="0" fontId="11" fillId="0" borderId="29" xfId="2" applyBorder="1" applyAlignment="1">
      <alignment horizontal="center"/>
    </xf>
    <xf numFmtId="0" fontId="11" fillId="0" borderId="19" xfId="2" applyBorder="1" applyAlignment="1">
      <alignment horizontal="center"/>
    </xf>
    <xf numFmtId="0" fontId="3" fillId="0" borderId="41" xfId="2" applyFont="1" applyBorder="1" applyAlignment="1">
      <alignment horizontal="center" textRotation="90"/>
    </xf>
    <xf numFmtId="0" fontId="3" fillId="0" borderId="38" xfId="2" applyFont="1" applyBorder="1" applyAlignment="1">
      <alignment horizontal="center" textRotation="90"/>
    </xf>
    <xf numFmtId="0" fontId="3" fillId="0" borderId="85" xfId="2" applyFont="1" applyBorder="1" applyAlignment="1">
      <alignment horizontal="center" textRotation="90"/>
    </xf>
    <xf numFmtId="0" fontId="68" fillId="0" borderId="91" xfId="2" applyFont="1" applyBorder="1" applyAlignment="1">
      <alignment horizontal="center" textRotation="90"/>
    </xf>
    <xf numFmtId="0" fontId="9" fillId="0" borderId="91" xfId="2" applyFont="1" applyBorder="1" applyAlignment="1">
      <alignment horizontal="center" textRotation="90"/>
    </xf>
    <xf numFmtId="0" fontId="9" fillId="0" borderId="86" xfId="2" applyFont="1" applyBorder="1" applyAlignment="1">
      <alignment horizontal="center" textRotation="90"/>
    </xf>
    <xf numFmtId="0" fontId="68" fillId="0" borderId="98" xfId="2" applyFont="1" applyBorder="1" applyAlignment="1">
      <alignment horizontal="center" textRotation="90" wrapText="1"/>
    </xf>
    <xf numFmtId="0" fontId="68" fillId="0" borderId="94" xfId="2" applyFont="1" applyBorder="1" applyAlignment="1">
      <alignment horizontal="center" textRotation="90" wrapText="1"/>
    </xf>
    <xf numFmtId="0" fontId="68" fillId="0" borderId="89" xfId="2" applyFont="1" applyBorder="1" applyAlignment="1">
      <alignment horizontal="center" textRotation="90" wrapText="1"/>
    </xf>
    <xf numFmtId="0" fontId="3" fillId="0" borderId="97" xfId="2" applyFont="1" applyBorder="1" applyAlignment="1">
      <alignment horizontal="center" textRotation="90"/>
    </xf>
    <xf numFmtId="0" fontId="3" fillId="0" borderId="93" xfId="2" applyFont="1" applyBorder="1" applyAlignment="1">
      <alignment horizontal="center" textRotation="90"/>
    </xf>
    <xf numFmtId="0" fontId="3" fillId="0" borderId="88" xfId="2" applyFont="1" applyBorder="1" applyAlignment="1">
      <alignment horizontal="center" textRotation="90"/>
    </xf>
    <xf numFmtId="0" fontId="68" fillId="0" borderId="96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/>
    </xf>
    <xf numFmtId="0" fontId="9" fillId="0" borderId="87" xfId="2" applyFont="1" applyBorder="1" applyAlignment="1">
      <alignment horizontal="center" textRotation="90"/>
    </xf>
    <xf numFmtId="0" fontId="3" fillId="0" borderId="54" xfId="2" applyFont="1" applyBorder="1" applyAlignment="1">
      <alignment horizontal="center" textRotation="90"/>
    </xf>
    <xf numFmtId="0" fontId="11" fillId="8" borderId="31" xfId="2" applyFill="1" applyBorder="1" applyAlignment="1">
      <alignment horizontal="center"/>
    </xf>
    <xf numFmtId="0" fontId="11" fillId="8" borderId="23" xfId="2" applyFill="1" applyBorder="1" applyAlignment="1">
      <alignment horizontal="center"/>
    </xf>
    <xf numFmtId="0" fontId="11" fillId="8" borderId="61" xfId="2" applyFill="1" applyBorder="1" applyAlignment="1">
      <alignment horizontal="center"/>
    </xf>
    <xf numFmtId="0" fontId="11" fillId="8" borderId="37" xfId="2" applyFill="1" applyBorder="1" applyAlignment="1">
      <alignment horizontal="center"/>
    </xf>
    <xf numFmtId="0" fontId="11" fillId="8" borderId="18" xfId="2" applyFill="1" applyBorder="1" applyAlignment="1">
      <alignment horizontal="center"/>
    </xf>
    <xf numFmtId="0" fontId="11" fillId="8" borderId="20" xfId="2" applyFill="1" applyBorder="1" applyAlignment="1">
      <alignment horizontal="center"/>
    </xf>
    <xf numFmtId="0" fontId="11" fillId="8" borderId="22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16" xfId="2" applyFill="1" applyBorder="1" applyAlignment="1">
      <alignment horizontal="center"/>
    </xf>
    <xf numFmtId="0" fontId="11" fillId="0" borderId="43" xfId="2" applyBorder="1" applyAlignment="1">
      <alignment horizontal="center"/>
    </xf>
    <xf numFmtId="0" fontId="11" fillId="0" borderId="20" xfId="2" applyBorder="1" applyAlignment="1">
      <alignment horizontal="center"/>
    </xf>
    <xf numFmtId="0" fontId="9" fillId="0" borderId="100" xfId="2" applyFont="1" applyBorder="1" applyAlignment="1">
      <alignment horizontal="center" textRotation="90" wrapText="1"/>
    </xf>
    <xf numFmtId="0" fontId="9" fillId="0" borderId="91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 wrapText="1"/>
    </xf>
    <xf numFmtId="0" fontId="9" fillId="0" borderId="86" xfId="2" applyFont="1" applyBorder="1" applyAlignment="1">
      <alignment horizontal="center" textRotation="90" wrapText="1"/>
    </xf>
    <xf numFmtId="0" fontId="3" fillId="0" borderId="99" xfId="2" applyFont="1" applyBorder="1" applyAlignment="1">
      <alignment horizontal="center" textRotation="90"/>
    </xf>
    <xf numFmtId="0" fontId="3" fillId="0" borderId="95" xfId="2" applyFont="1" applyBorder="1" applyAlignment="1">
      <alignment horizontal="center" textRotation="90"/>
    </xf>
    <xf numFmtId="0" fontId="3" fillId="0" borderId="90" xfId="2" applyFont="1" applyBorder="1" applyAlignment="1">
      <alignment horizontal="center" textRotation="90"/>
    </xf>
    <xf numFmtId="0" fontId="11" fillId="0" borderId="23" xfId="2" applyBorder="1" applyAlignment="1">
      <alignment horizontal="left" vertical="top"/>
    </xf>
    <xf numFmtId="0" fontId="11" fillId="0" borderId="61" xfId="2" applyBorder="1" applyAlignment="1">
      <alignment horizontal="left" vertical="top"/>
    </xf>
    <xf numFmtId="0" fontId="11" fillId="0" borderId="16" xfId="2" applyBorder="1" applyAlignment="1">
      <alignment horizontal="left" vertical="top"/>
    </xf>
    <xf numFmtId="0" fontId="11" fillId="0" borderId="22" xfId="2" applyFont="1" applyBorder="1" applyAlignment="1">
      <alignment horizontal="left" vertical="top"/>
    </xf>
    <xf numFmtId="0" fontId="11" fillId="0" borderId="22" xfId="2" applyBorder="1" applyAlignment="1">
      <alignment horizontal="left" vertical="top"/>
    </xf>
    <xf numFmtId="0" fontId="11" fillId="0" borderId="37" xfId="2" applyBorder="1" applyAlignment="1">
      <alignment horizontal="left" vertical="top"/>
    </xf>
    <xf numFmtId="0" fontId="11" fillId="0" borderId="18" xfId="2" applyBorder="1" applyAlignment="1">
      <alignment horizontal="left" vertical="top"/>
    </xf>
    <xf numFmtId="0" fontId="11" fillId="0" borderId="31" xfId="2" applyFont="1" applyBorder="1" applyAlignment="1">
      <alignment horizontal="left" vertical="top" wrapText="1"/>
    </xf>
    <xf numFmtId="0" fontId="11" fillId="0" borderId="23" xfId="2" applyBorder="1" applyAlignment="1">
      <alignment horizontal="left" vertical="top" wrapText="1"/>
    </xf>
    <xf numFmtId="0" fontId="11" fillId="0" borderId="22" xfId="2" applyBorder="1" applyAlignment="1">
      <alignment horizontal="left" vertical="top" wrapText="1"/>
    </xf>
    <xf numFmtId="0" fontId="11" fillId="0" borderId="0" xfId="2" applyBorder="1" applyAlignment="1">
      <alignment horizontal="left" vertical="top" wrapText="1"/>
    </xf>
    <xf numFmtId="0" fontId="11" fillId="0" borderId="25" xfId="2" applyBorder="1" applyAlignment="1">
      <alignment horizontal="left" vertical="top" wrapText="1"/>
    </xf>
    <xf numFmtId="0" fontId="11" fillId="0" borderId="5" xfId="2" applyBorder="1" applyAlignment="1">
      <alignment horizontal="left" vertical="top" wrapText="1"/>
    </xf>
    <xf numFmtId="0" fontId="11" fillId="0" borderId="61" xfId="2" applyBorder="1" applyAlignment="1">
      <alignment horizontal="center"/>
    </xf>
    <xf numFmtId="0" fontId="11" fillId="8" borderId="25" xfId="2" applyFill="1" applyBorder="1" applyAlignment="1">
      <alignment horizontal="center"/>
    </xf>
    <xf numFmtId="0" fontId="11" fillId="8" borderId="5" xfId="2" applyFill="1" applyBorder="1" applyAlignment="1">
      <alignment horizontal="center"/>
    </xf>
    <xf numFmtId="0" fontId="11" fillId="8" borderId="7" xfId="2" applyFill="1" applyBorder="1" applyAlignment="1">
      <alignment horizontal="center"/>
    </xf>
    <xf numFmtId="0" fontId="9" fillId="0" borderId="98" xfId="2" applyFont="1" applyBorder="1" applyAlignment="1">
      <alignment horizontal="center" textRotation="90" wrapText="1"/>
    </xf>
    <xf numFmtId="0" fontId="9" fillId="0" borderId="94" xfId="2" applyFont="1" applyBorder="1" applyAlignment="1">
      <alignment horizontal="center" textRotation="90" wrapText="1"/>
    </xf>
    <xf numFmtId="0" fontId="9" fillId="0" borderId="89" xfId="2" applyFont="1" applyBorder="1" applyAlignment="1">
      <alignment horizontal="center" textRotation="90" wrapText="1"/>
    </xf>
    <xf numFmtId="0" fontId="81" fillId="7" borderId="62" xfId="3" applyFont="1" applyFill="1" applyBorder="1" applyAlignment="1">
      <alignment horizontal="center"/>
    </xf>
    <xf numFmtId="0" fontId="81" fillId="7" borderId="63" xfId="3" applyFont="1" applyFill="1" applyBorder="1" applyAlignment="1">
      <alignment horizontal="center"/>
    </xf>
    <xf numFmtId="0" fontId="63" fillId="0" borderId="62" xfId="3" applyFont="1" applyBorder="1" applyAlignment="1">
      <alignment horizontal="left" vertical="center" wrapText="1" indent="4"/>
    </xf>
    <xf numFmtId="0" fontId="63" fillId="0" borderId="49" xfId="3" applyFont="1" applyBorder="1" applyAlignment="1">
      <alignment horizontal="left" vertical="center" wrapText="1" indent="4"/>
    </xf>
    <xf numFmtId="0" fontId="63" fillId="0" borderId="63" xfId="3" applyFont="1" applyBorder="1" applyAlignment="1">
      <alignment horizontal="left" vertical="center" wrapText="1" indent="4"/>
    </xf>
    <xf numFmtId="0" fontId="70" fillId="0" borderId="49" xfId="3" applyFont="1" applyBorder="1" applyAlignment="1">
      <alignment horizontal="center"/>
    </xf>
    <xf numFmtId="0" fontId="70" fillId="0" borderId="63" xfId="3" applyFont="1" applyBorder="1" applyAlignment="1">
      <alignment horizontal="center"/>
    </xf>
    <xf numFmtId="0" fontId="63" fillId="0" borderId="48" xfId="3" applyFont="1" applyBorder="1" applyAlignment="1">
      <alignment horizontal="center"/>
    </xf>
    <xf numFmtId="0" fontId="63" fillId="0" borderId="1" xfId="3" applyFont="1" applyBorder="1" applyAlignment="1">
      <alignment horizontal="center"/>
    </xf>
    <xf numFmtId="0" fontId="63" fillId="0" borderId="57" xfId="3" applyFont="1" applyBorder="1" applyAlignment="1">
      <alignment horizontal="center"/>
    </xf>
    <xf numFmtId="0" fontId="76" fillId="0" borderId="59" xfId="3" applyFont="1" applyBorder="1" applyAlignment="1">
      <alignment horizontal="right" vertical="center" wrapText="1"/>
    </xf>
    <xf numFmtId="0" fontId="76" fillId="0" borderId="25" xfId="3" applyFont="1" applyBorder="1" applyAlignment="1">
      <alignment horizontal="right" vertical="center" wrapText="1"/>
    </xf>
    <xf numFmtId="0" fontId="63" fillId="0" borderId="0" xfId="3" applyFont="1" applyBorder="1" applyAlignment="1">
      <alignment horizontal="center" vertical="center" wrapText="1"/>
    </xf>
    <xf numFmtId="0" fontId="63" fillId="0" borderId="17" xfId="3" applyFont="1" applyBorder="1" applyAlignment="1">
      <alignment horizontal="center" vertical="center" wrapText="1"/>
    </xf>
    <xf numFmtId="0" fontId="63" fillId="0" borderId="5" xfId="3" applyFont="1" applyBorder="1" applyAlignment="1">
      <alignment horizontal="center" vertical="center" wrapText="1"/>
    </xf>
    <xf numFmtId="0" fontId="63" fillId="0" borderId="8" xfId="3" applyFont="1" applyBorder="1" applyAlignment="1">
      <alignment horizontal="center" vertical="center" wrapText="1"/>
    </xf>
    <xf numFmtId="0" fontId="76" fillId="0" borderId="1" xfId="3" applyFont="1" applyBorder="1" applyAlignment="1">
      <alignment horizontal="center"/>
    </xf>
    <xf numFmtId="0" fontId="76" fillId="0" borderId="57" xfId="3" applyFont="1" applyBorder="1" applyAlignment="1">
      <alignment horizontal="center"/>
    </xf>
    <xf numFmtId="0" fontId="63" fillId="0" borderId="29" xfId="3" applyFont="1" applyBorder="1" applyAlignment="1">
      <alignment horizontal="center"/>
    </xf>
    <xf numFmtId="0" fontId="63" fillId="0" borderId="4" xfId="3" applyFont="1" applyBorder="1" applyAlignment="1">
      <alignment horizontal="center"/>
    </xf>
    <xf numFmtId="0" fontId="78" fillId="0" borderId="53" xfId="3" applyFont="1" applyBorder="1" applyAlignment="1">
      <alignment horizontal="center"/>
    </xf>
    <xf numFmtId="0" fontId="78" fillId="0" borderId="43" xfId="3" applyFont="1" applyBorder="1" applyAlignment="1">
      <alignment horizontal="center"/>
    </xf>
    <xf numFmtId="0" fontId="78" fillId="0" borderId="54" xfId="3" applyFont="1" applyBorder="1" applyAlignment="1">
      <alignment horizontal="center"/>
    </xf>
    <xf numFmtId="0" fontId="70" fillId="0" borderId="25" xfId="3" applyFont="1" applyBorder="1" applyAlignment="1">
      <alignment horizontal="left"/>
    </xf>
    <xf numFmtId="0" fontId="70" fillId="0" borderId="5" xfId="3" applyFont="1" applyBorder="1" applyAlignment="1">
      <alignment horizontal="left"/>
    </xf>
    <xf numFmtId="0" fontId="70" fillId="0" borderId="8" xfId="3" applyFont="1" applyBorder="1" applyAlignment="1">
      <alignment horizontal="left"/>
    </xf>
    <xf numFmtId="0" fontId="70" fillId="0" borderId="48" xfId="3" applyFont="1" applyBorder="1" applyAlignment="1">
      <alignment horizontal="center"/>
    </xf>
    <xf numFmtId="0" fontId="70" fillId="0" borderId="1" xfId="3" applyFont="1" applyBorder="1" applyAlignment="1">
      <alignment horizontal="center"/>
    </xf>
    <xf numFmtId="0" fontId="70" fillId="0" borderId="30" xfId="3" applyFont="1" applyBorder="1" applyAlignment="1">
      <alignment horizontal="center"/>
    </xf>
    <xf numFmtId="0" fontId="72" fillId="0" borderId="4" xfId="3" applyFont="1" applyBorder="1" applyAlignment="1">
      <alignment horizontal="center"/>
    </xf>
    <xf numFmtId="0" fontId="70" fillId="0" borderId="4" xfId="3" applyFont="1" applyBorder="1" applyAlignment="1">
      <alignment horizontal="center"/>
    </xf>
    <xf numFmtId="0" fontId="70" fillId="0" borderId="56" xfId="3" applyFont="1" applyBorder="1" applyAlignment="1">
      <alignment horizontal="center"/>
    </xf>
    <xf numFmtId="0" fontId="72" fillId="0" borderId="4" xfId="3" applyFont="1" applyBorder="1" applyAlignment="1">
      <alignment horizontal="center" vertical="center"/>
    </xf>
    <xf numFmtId="0" fontId="72" fillId="0" borderId="56" xfId="3" applyFont="1" applyBorder="1" applyAlignment="1">
      <alignment horizontal="center" vertical="center"/>
    </xf>
    <xf numFmtId="0" fontId="71" fillId="0" borderId="4" xfId="3" applyFont="1" applyBorder="1" applyAlignment="1">
      <alignment horizontal="center" wrapText="1"/>
    </xf>
    <xf numFmtId="0" fontId="71" fillId="0" borderId="38" xfId="3" applyFont="1" applyBorder="1" applyAlignment="1">
      <alignment horizontal="center" wrapText="1"/>
    </xf>
    <xf numFmtId="0" fontId="71" fillId="0" borderId="56" xfId="3" applyFont="1" applyBorder="1" applyAlignment="1">
      <alignment horizontal="center" wrapText="1"/>
    </xf>
    <xf numFmtId="0" fontId="71" fillId="0" borderId="85" xfId="3" applyFont="1" applyBorder="1" applyAlignment="1">
      <alignment horizontal="center" wrapText="1"/>
    </xf>
    <xf numFmtId="0" fontId="63" fillId="0" borderId="48" xfId="3" applyFont="1" applyFill="1" applyBorder="1" applyAlignment="1">
      <alignment horizontal="center"/>
    </xf>
    <xf numFmtId="0" fontId="63" fillId="0" borderId="1" xfId="3" applyFont="1" applyFill="1" applyBorder="1" applyAlignment="1">
      <alignment horizontal="center"/>
    </xf>
    <xf numFmtId="0" fontId="63" fillId="0" borderId="57" xfId="3" applyFont="1" applyFill="1" applyBorder="1" applyAlignment="1">
      <alignment horizontal="center"/>
    </xf>
    <xf numFmtId="0" fontId="76" fillId="0" borderId="48" xfId="3" applyFont="1" applyFill="1" applyBorder="1" applyAlignment="1">
      <alignment horizontal="center"/>
    </xf>
    <xf numFmtId="0" fontId="76" fillId="0" borderId="1" xfId="3" applyFont="1" applyFill="1" applyBorder="1" applyAlignment="1">
      <alignment horizontal="center"/>
    </xf>
    <xf numFmtId="0" fontId="76" fillId="0" borderId="57" xfId="3" applyFont="1" applyFill="1" applyBorder="1" applyAlignment="1">
      <alignment horizontal="center"/>
    </xf>
    <xf numFmtId="0" fontId="70" fillId="0" borderId="59" xfId="3" applyFont="1" applyBorder="1" applyAlignment="1">
      <alignment horizontal="left"/>
    </xf>
    <xf numFmtId="0" fontId="70" fillId="0" borderId="10" xfId="3" applyFont="1" applyBorder="1" applyAlignment="1">
      <alignment horizontal="left"/>
    </xf>
    <xf numFmtId="0" fontId="70" fillId="0" borderId="14" xfId="3" applyFont="1" applyBorder="1" applyAlignment="1">
      <alignment horizontal="left"/>
    </xf>
    <xf numFmtId="0" fontId="63" fillId="0" borderId="0" xfId="3" applyFont="1" applyBorder="1" applyAlignment="1">
      <alignment horizontal="left" vertical="center" wrapText="1" indent="4"/>
    </xf>
    <xf numFmtId="0" fontId="63" fillId="0" borderId="17" xfId="3" applyFont="1" applyBorder="1" applyAlignment="1">
      <alignment horizontal="left" vertical="center" wrapText="1" indent="4"/>
    </xf>
    <xf numFmtId="0" fontId="80" fillId="0" borderId="59" xfId="3" applyFont="1" applyFill="1" applyBorder="1" applyAlignment="1">
      <alignment horizontal="center" vertical="center"/>
    </xf>
    <xf numFmtId="0" fontId="80" fillId="0" borderId="10" xfId="3" applyFont="1" applyFill="1" applyBorder="1" applyAlignment="1">
      <alignment horizontal="center" vertical="center"/>
    </xf>
    <xf numFmtId="0" fontId="80" fillId="0" borderId="14" xfId="3" applyFont="1" applyFill="1" applyBorder="1" applyAlignment="1">
      <alignment horizontal="center" vertical="center"/>
    </xf>
    <xf numFmtId="0" fontId="80" fillId="0" borderId="22" xfId="3" applyFont="1" applyFill="1" applyBorder="1" applyAlignment="1">
      <alignment horizontal="center" vertical="center"/>
    </xf>
    <xf numFmtId="0" fontId="80" fillId="0" borderId="0" xfId="3" applyFont="1" applyFill="1" applyBorder="1" applyAlignment="1">
      <alignment horizontal="center" vertical="center"/>
    </xf>
    <xf numFmtId="0" fontId="80" fillId="0" borderId="17" xfId="3" applyFont="1" applyFill="1" applyBorder="1" applyAlignment="1">
      <alignment horizontal="center" vertical="center"/>
    </xf>
    <xf numFmtId="0" fontId="79" fillId="0" borderId="62" xfId="3" applyFont="1" applyBorder="1" applyAlignment="1">
      <alignment horizontal="center" vertical="center" wrapText="1"/>
    </xf>
    <xf numFmtId="0" fontId="79" fillId="0" borderId="49" xfId="3" applyFont="1" applyBorder="1" applyAlignment="1">
      <alignment horizontal="center" vertical="center" wrapText="1"/>
    </xf>
    <xf numFmtId="0" fontId="79" fillId="0" borderId="63" xfId="3" applyFont="1" applyBorder="1" applyAlignment="1">
      <alignment horizontal="center" vertical="center" wrapText="1"/>
    </xf>
    <xf numFmtId="0" fontId="76" fillId="0" borderId="10" xfId="3" applyFont="1" applyBorder="1" applyAlignment="1">
      <alignment horizontal="center" vertical="center" wrapText="1"/>
    </xf>
    <xf numFmtId="0" fontId="76" fillId="0" borderId="14" xfId="3" applyFont="1" applyBorder="1" applyAlignment="1">
      <alignment horizontal="center" vertical="center" wrapText="1"/>
    </xf>
    <xf numFmtId="0" fontId="41" fillId="0" borderId="0" xfId="3" applyFont="1" applyBorder="1" applyAlignment="1">
      <alignment vertical="center" wrapText="1"/>
    </xf>
    <xf numFmtId="0" fontId="41" fillId="0" borderId="17" xfId="3" applyFont="1" applyBorder="1" applyAlignment="1">
      <alignment vertical="center" wrapText="1"/>
    </xf>
    <xf numFmtId="0" fontId="41" fillId="0" borderId="18" xfId="3" applyFont="1" applyBorder="1" applyAlignment="1">
      <alignment vertical="center" wrapText="1"/>
    </xf>
    <xf numFmtId="0" fontId="72" fillId="0" borderId="5" xfId="3" applyFont="1" applyBorder="1" applyAlignment="1">
      <alignment horizontal="center" vertical="top"/>
    </xf>
    <xf numFmtId="0" fontId="72" fillId="0" borderId="8" xfId="3" applyFont="1" applyBorder="1" applyAlignment="1">
      <alignment horizontal="center" vertical="top"/>
    </xf>
    <xf numFmtId="0" fontId="63" fillId="0" borderId="27" xfId="3" applyFont="1" applyBorder="1" applyAlignment="1">
      <alignment horizontal="center"/>
    </xf>
    <xf numFmtId="0" fontId="63" fillId="0" borderId="10" xfId="3" applyFont="1" applyBorder="1" applyAlignment="1">
      <alignment horizontal="center"/>
    </xf>
    <xf numFmtId="0" fontId="63" fillId="0" borderId="14" xfId="3" applyFont="1" applyBorder="1" applyAlignment="1">
      <alignment horizontal="center"/>
    </xf>
    <xf numFmtId="0" fontId="63" fillId="7" borderId="62" xfId="3" applyFont="1" applyFill="1" applyBorder="1" applyAlignment="1">
      <alignment horizontal="center"/>
    </xf>
    <xf numFmtId="0" fontId="63" fillId="7" borderId="49" xfId="3" applyFont="1" applyFill="1" applyBorder="1" applyAlignment="1">
      <alignment horizontal="center"/>
    </xf>
    <xf numFmtId="0" fontId="63" fillId="7" borderId="63" xfId="3" applyFont="1" applyFill="1" applyBorder="1" applyAlignment="1">
      <alignment horizontal="center"/>
    </xf>
    <xf numFmtId="0" fontId="82" fillId="0" borderId="83" xfId="3" applyFont="1" applyBorder="1" applyAlignment="1">
      <alignment horizontal="left"/>
    </xf>
    <xf numFmtId="0" fontId="82" fillId="0" borderId="5" xfId="3" applyFont="1" applyBorder="1" applyAlignment="1">
      <alignment horizontal="left"/>
    </xf>
    <xf numFmtId="0" fontId="76" fillId="0" borderId="22" xfId="3" applyFont="1" applyBorder="1" applyAlignment="1">
      <alignment horizontal="right" vertical="center"/>
    </xf>
    <xf numFmtId="0" fontId="76" fillId="0" borderId="37" xfId="3" applyFont="1" applyBorder="1" applyAlignment="1">
      <alignment horizontal="right" vertical="center"/>
    </xf>
    <xf numFmtId="0" fontId="76" fillId="7" borderId="22" xfId="3" applyFont="1" applyFill="1" applyBorder="1" applyAlignment="1">
      <alignment horizontal="center" vertical="center"/>
    </xf>
    <xf numFmtId="0" fontId="76" fillId="7" borderId="0" xfId="3" applyFont="1" applyFill="1" applyBorder="1" applyAlignment="1">
      <alignment horizontal="center" vertical="center"/>
    </xf>
    <xf numFmtId="0" fontId="76" fillId="7" borderId="17" xfId="3" applyFont="1" applyFill="1" applyBorder="1" applyAlignment="1">
      <alignment horizontal="center" vertical="center"/>
    </xf>
    <xf numFmtId="0" fontId="76" fillId="7" borderId="25" xfId="3" applyFont="1" applyFill="1" applyBorder="1" applyAlignment="1">
      <alignment horizontal="center" vertical="center"/>
    </xf>
    <xf numFmtId="0" fontId="76" fillId="7" borderId="5" xfId="3" applyFont="1" applyFill="1" applyBorder="1" applyAlignment="1">
      <alignment horizontal="center" vertical="center"/>
    </xf>
    <xf numFmtId="0" fontId="76" fillId="7" borderId="8" xfId="3" applyFont="1" applyFill="1" applyBorder="1" applyAlignment="1">
      <alignment horizontal="center" vertical="center"/>
    </xf>
    <xf numFmtId="0" fontId="72" fillId="0" borderId="39" xfId="3" applyFont="1" applyBorder="1" applyAlignment="1">
      <alignment horizontal="left"/>
    </xf>
    <xf numFmtId="0" fontId="72" fillId="0" borderId="4" xfId="3" applyFont="1" applyBorder="1" applyAlignment="1">
      <alignment horizontal="left"/>
    </xf>
    <xf numFmtId="0" fontId="72" fillId="0" borderId="5" xfId="3" applyFont="1" applyBorder="1" applyAlignment="1">
      <alignment horizontal="center"/>
    </xf>
    <xf numFmtId="0" fontId="72" fillId="0" borderId="8" xfId="3" applyFont="1" applyBorder="1" applyAlignment="1">
      <alignment horizontal="center"/>
    </xf>
    <xf numFmtId="0" fontId="76" fillId="0" borderId="39" xfId="3" applyFont="1" applyBorder="1" applyAlignment="1">
      <alignment horizontal="left" wrapText="1"/>
    </xf>
    <xf numFmtId="0" fontId="76" fillId="0" borderId="4" xfId="3" applyFont="1" applyBorder="1" applyAlignment="1">
      <alignment horizontal="left" wrapText="1"/>
    </xf>
    <xf numFmtId="0" fontId="76" fillId="0" borderId="38" xfId="3" applyFont="1" applyBorder="1" applyAlignment="1">
      <alignment horizontal="left" wrapText="1"/>
    </xf>
    <xf numFmtId="0" fontId="76" fillId="0" borderId="39" xfId="3" applyFont="1" applyBorder="1" applyAlignment="1">
      <alignment horizontal="left"/>
    </xf>
    <xf numFmtId="0" fontId="76" fillId="0" borderId="4" xfId="3" applyFont="1" applyBorder="1" applyAlignment="1">
      <alignment horizontal="left"/>
    </xf>
    <xf numFmtId="0" fontId="76" fillId="0" borderId="38" xfId="3" applyFont="1" applyBorder="1" applyAlignment="1">
      <alignment horizontal="left"/>
    </xf>
    <xf numFmtId="0" fontId="73" fillId="0" borderId="39" xfId="3" applyFont="1" applyBorder="1" applyAlignment="1">
      <alignment horizontal="center" vertical="center"/>
    </xf>
    <xf numFmtId="0" fontId="75" fillId="0" borderId="39" xfId="3" applyFont="1" applyBorder="1" applyAlignment="1">
      <alignment horizontal="center"/>
    </xf>
    <xf numFmtId="0" fontId="75" fillId="0" borderId="4" xfId="3" applyFont="1" applyBorder="1" applyAlignment="1">
      <alignment horizontal="center"/>
    </xf>
    <xf numFmtId="0" fontId="75" fillId="0" borderId="38" xfId="3" applyFont="1" applyBorder="1" applyAlignment="1">
      <alignment horizontal="center"/>
    </xf>
    <xf numFmtId="0" fontId="72" fillId="0" borderId="38" xfId="3" applyFont="1" applyBorder="1" applyAlignment="1">
      <alignment horizontal="left"/>
    </xf>
    <xf numFmtId="0" fontId="70" fillId="0" borderId="39" xfId="3" applyFont="1" applyBorder="1" applyAlignment="1">
      <alignment horizontal="left"/>
    </xf>
    <xf numFmtId="0" fontId="70" fillId="0" borderId="4" xfId="3" applyFont="1" applyBorder="1" applyAlignment="1">
      <alignment horizontal="left"/>
    </xf>
    <xf numFmtId="0" fontId="63" fillId="0" borderId="62" xfId="3" applyFont="1" applyBorder="1" applyAlignment="1">
      <alignment horizontal="left"/>
    </xf>
    <xf numFmtId="0" fontId="63" fillId="0" borderId="49" xfId="3" applyFont="1" applyBorder="1" applyAlignment="1">
      <alignment horizontal="left"/>
    </xf>
    <xf numFmtId="0" fontId="63" fillId="0" borderId="63" xfId="3" applyFont="1" applyBorder="1" applyAlignment="1">
      <alignment horizontal="left"/>
    </xf>
    <xf numFmtId="0" fontId="70" fillId="0" borderId="10" xfId="3" applyFont="1" applyBorder="1" applyAlignment="1">
      <alignment horizontal="center"/>
    </xf>
    <xf numFmtId="0" fontId="11" fillId="0" borderId="47" xfId="2" applyFont="1" applyFill="1" applyBorder="1" applyAlignment="1">
      <alignment horizontal="center"/>
    </xf>
    <xf numFmtId="0" fontId="18" fillId="0" borderId="22" xfId="2" applyFont="1" applyFill="1" applyBorder="1" applyAlignment="1">
      <alignment horizontal="left" vertical="top"/>
    </xf>
    <xf numFmtId="0" fontId="18" fillId="0" borderId="0" xfId="2" applyFont="1" applyFill="1" applyBorder="1" applyAlignment="1">
      <alignment horizontal="left" vertical="top"/>
    </xf>
    <xf numFmtId="0" fontId="11" fillId="0" borderId="23" xfId="2" applyFont="1" applyFill="1" applyBorder="1" applyAlignment="1">
      <alignment horizontal="center"/>
    </xf>
    <xf numFmtId="0" fontId="11" fillId="0" borderId="24" xfId="2" applyFont="1" applyFill="1" applyBorder="1" applyAlignment="1">
      <alignment horizontal="center"/>
    </xf>
    <xf numFmtId="0" fontId="11" fillId="0" borderId="28" xfId="2" applyFont="1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11" fillId="0" borderId="18" xfId="0" applyFont="1" applyFill="1" applyBorder="1" applyAlignment="1">
      <alignment horizontal="center" vertical="center"/>
    </xf>
    <xf numFmtId="0" fontId="11" fillId="0" borderId="48" xfId="0" applyFont="1" applyFill="1" applyBorder="1" applyAlignment="1">
      <alignment vertical="top"/>
    </xf>
    <xf numFmtId="0" fontId="11" fillId="0" borderId="1" xfId="0" applyFont="1" applyFill="1" applyBorder="1" applyAlignment="1"/>
    <xf numFmtId="0" fontId="11" fillId="0" borderId="1" xfId="0" applyFont="1" applyFill="1" applyBorder="1" applyAlignment="1">
      <alignment horizontal="center" vertical="center"/>
    </xf>
    <xf numFmtId="0" fontId="11" fillId="12" borderId="64" xfId="0" applyFont="1" applyFill="1" applyBorder="1" applyAlignment="1">
      <alignment horizontal="center" vertical="center" wrapText="1"/>
    </xf>
    <xf numFmtId="0" fontId="11" fillId="12" borderId="47" xfId="0" applyFont="1" applyFill="1" applyBorder="1" applyAlignment="1">
      <alignment horizontal="center" vertical="center" wrapText="1"/>
    </xf>
    <xf numFmtId="0" fontId="11" fillId="12" borderId="66" xfId="0" applyFont="1" applyFill="1" applyBorder="1" applyAlignment="1">
      <alignment horizontal="center" vertical="center" wrapText="1"/>
    </xf>
    <xf numFmtId="0" fontId="11" fillId="0" borderId="23" xfId="0" applyFont="1" applyFill="1" applyBorder="1" applyAlignment="1"/>
    <xf numFmtId="0" fontId="11" fillId="0" borderId="48" xfId="0" applyFont="1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11" fillId="0" borderId="28" xfId="2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28" xfId="2" applyFont="1" applyFill="1" applyBorder="1" applyAlignment="1">
      <alignment horizontal="left" vertical="top"/>
    </xf>
    <xf numFmtId="0" fontId="11" fillId="0" borderId="1" xfId="0" applyFont="1" applyFill="1" applyBorder="1" applyAlignment="1">
      <alignment horizontal="left" vertical="top"/>
    </xf>
    <xf numFmtId="0" fontId="11" fillId="0" borderId="28" xfId="0" applyFont="1" applyFill="1" applyBorder="1" applyAlignment="1">
      <alignment horizontal="left" vertical="top"/>
    </xf>
    <xf numFmtId="0" fontId="11" fillId="0" borderId="82" xfId="0" applyFont="1" applyFill="1" applyBorder="1" applyAlignment="1">
      <alignment horizontal="center" vertical="center" wrapText="1" shrinkToFit="1"/>
    </xf>
    <xf numFmtId="0" fontId="11" fillId="0" borderId="83" xfId="0" applyFont="1" applyFill="1" applyBorder="1" applyAlignment="1">
      <alignment horizontal="center" vertical="center" wrapText="1" shrinkToFit="1"/>
    </xf>
    <xf numFmtId="0" fontId="11" fillId="0" borderId="45" xfId="0" applyFont="1" applyFill="1" applyBorder="1" applyAlignment="1">
      <alignment horizontal="center" vertical="center" wrapText="1" shrinkToFit="1"/>
    </xf>
    <xf numFmtId="0" fontId="15" fillId="0" borderId="25" xfId="2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1" fillId="0" borderId="18" xfId="2" applyFont="1" applyFill="1" applyBorder="1" applyAlignment="1">
      <alignment shrinkToFit="1"/>
    </xf>
    <xf numFmtId="0" fontId="11" fillId="0" borderId="18" xfId="0" applyFont="1" applyFill="1" applyBorder="1" applyAlignment="1">
      <alignment shrinkToFit="1"/>
    </xf>
    <xf numFmtId="0" fontId="11" fillId="0" borderId="21" xfId="0" applyFont="1" applyFill="1" applyBorder="1" applyAlignment="1">
      <alignment shrinkToFit="1"/>
    </xf>
    <xf numFmtId="0" fontId="15" fillId="12" borderId="31" xfId="2" applyFont="1" applyFill="1" applyBorder="1" applyAlignment="1">
      <alignment horizontal="center" vertical="center" wrapText="1"/>
    </xf>
    <xf numFmtId="0" fontId="15" fillId="12" borderId="23" xfId="0" applyFont="1" applyFill="1" applyBorder="1" applyAlignment="1">
      <alignment horizontal="center" vertical="center" wrapText="1"/>
    </xf>
    <xf numFmtId="0" fontId="15" fillId="12" borderId="61" xfId="0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 wrapText="1"/>
    </xf>
    <xf numFmtId="0" fontId="15" fillId="12" borderId="0" xfId="0" applyFont="1" applyFill="1" applyBorder="1" applyAlignment="1">
      <alignment horizontal="center" vertical="center" wrapText="1"/>
    </xf>
    <xf numFmtId="0" fontId="15" fillId="12" borderId="16" xfId="0" applyFont="1" applyFill="1" applyBorder="1" applyAlignment="1">
      <alignment horizontal="center" vertical="center" wrapText="1"/>
    </xf>
    <xf numFmtId="0" fontId="15" fillId="12" borderId="3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/>
    </xf>
    <xf numFmtId="0" fontId="15" fillId="12" borderId="20" xfId="0" applyFont="1" applyFill="1" applyBorder="1" applyAlignment="1">
      <alignment horizontal="center" vertical="center" wrapText="1"/>
    </xf>
    <xf numFmtId="0" fontId="9" fillId="0" borderId="51" xfId="2" applyFont="1" applyFill="1" applyBorder="1" applyAlignment="1" applyProtection="1">
      <alignment horizontal="center" textRotation="90" wrapText="1"/>
      <protection locked="0"/>
    </xf>
    <xf numFmtId="0" fontId="11" fillId="0" borderId="51" xfId="0" applyFont="1" applyFill="1" applyBorder="1" applyAlignment="1">
      <alignment horizontal="center"/>
    </xf>
    <xf numFmtId="0" fontId="11" fillId="0" borderId="29" xfId="0" applyFont="1" applyFill="1" applyBorder="1" applyAlignment="1">
      <alignment horizontal="center"/>
    </xf>
    <xf numFmtId="0" fontId="9" fillId="0" borderId="51" xfId="2" applyFont="1" applyFill="1" applyBorder="1" applyAlignment="1">
      <alignment horizontal="center" textRotation="90" wrapText="1"/>
    </xf>
    <xf numFmtId="0" fontId="9" fillId="0" borderId="15" xfId="2" applyFont="1" applyFill="1" applyBorder="1" applyAlignment="1">
      <alignment horizontal="center" textRotation="90" wrapText="1"/>
    </xf>
    <xf numFmtId="0" fontId="9" fillId="0" borderId="16" xfId="2" applyFont="1" applyFill="1" applyBorder="1" applyAlignment="1">
      <alignment horizontal="center" textRotation="90" wrapText="1"/>
    </xf>
    <xf numFmtId="0" fontId="11" fillId="0" borderId="15" xfId="0" applyFont="1" applyFill="1" applyBorder="1" applyAlignment="1">
      <alignment horizontal="center" wrapText="1"/>
    </xf>
    <xf numFmtId="0" fontId="11" fillId="0" borderId="16" xfId="0" applyFont="1" applyFill="1" applyBorder="1" applyAlignment="1">
      <alignment horizontal="center" wrapText="1"/>
    </xf>
    <xf numFmtId="0" fontId="11" fillId="0" borderId="19" xfId="0" applyFont="1" applyFill="1" applyBorder="1" applyAlignment="1">
      <alignment horizontal="center" wrapText="1"/>
    </xf>
    <xf numFmtId="0" fontId="11" fillId="0" borderId="20" xfId="0" applyFont="1" applyFill="1" applyBorder="1" applyAlignment="1">
      <alignment horizontal="center" wrapText="1"/>
    </xf>
    <xf numFmtId="0" fontId="9" fillId="0" borderId="0" xfId="2" applyFont="1" applyFill="1" applyBorder="1" applyAlignment="1">
      <alignment horizontal="center" textRotation="90" wrapText="1"/>
    </xf>
    <xf numFmtId="0" fontId="11" fillId="0" borderId="0" xfId="0" applyFont="1" applyFill="1" applyBorder="1" applyAlignment="1">
      <alignment horizontal="center" wrapText="1"/>
    </xf>
    <xf numFmtId="0" fontId="11" fillId="0" borderId="18" xfId="0" applyFont="1" applyFill="1" applyBorder="1" applyAlignment="1">
      <alignment horizontal="center" wrapText="1"/>
    </xf>
    <xf numFmtId="0" fontId="11" fillId="0" borderId="60" xfId="2" applyFont="1" applyFill="1" applyBorder="1" applyAlignment="1">
      <alignment horizontal="center" vertical="center"/>
    </xf>
    <xf numFmtId="0" fontId="11" fillId="0" borderId="61" xfId="0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11" fillId="0" borderId="23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center" vertical="center"/>
    </xf>
    <xf numFmtId="0" fontId="11" fillId="0" borderId="21" xfId="0" applyFont="1" applyFill="1" applyBorder="1" applyAlignment="1">
      <alignment horizontal="center" vertical="center"/>
    </xf>
    <xf numFmtId="0" fontId="15" fillId="0" borderId="60" xfId="2" applyFont="1" applyFill="1" applyBorder="1" applyAlignment="1">
      <alignment horizontal="center" vertical="center" wrapText="1" shrinkToFit="1"/>
    </xf>
    <xf numFmtId="0" fontId="15" fillId="0" borderId="23" xfId="0" applyFont="1" applyFill="1" applyBorder="1" applyAlignment="1">
      <alignment horizontal="center" vertical="center" wrapText="1" shrinkToFit="1"/>
    </xf>
    <xf numFmtId="0" fontId="15" fillId="0" borderId="24" xfId="0" applyFont="1" applyFill="1" applyBorder="1" applyAlignment="1">
      <alignment horizontal="center" vertical="center" wrapText="1" shrinkToFit="1"/>
    </xf>
    <xf numFmtId="0" fontId="15" fillId="0" borderId="15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17" xfId="0" applyFont="1" applyFill="1" applyBorder="1" applyAlignment="1">
      <alignment vertical="center" wrapText="1"/>
    </xf>
    <xf numFmtId="0" fontId="15" fillId="0" borderId="19" xfId="0" applyFont="1" applyFill="1" applyBorder="1" applyAlignment="1">
      <alignment vertical="center" wrapText="1"/>
    </xf>
    <xf numFmtId="0" fontId="15" fillId="0" borderId="18" xfId="0" applyFont="1" applyFill="1" applyBorder="1" applyAlignment="1">
      <alignment vertical="center" wrapText="1"/>
    </xf>
    <xf numFmtId="0" fontId="15" fillId="0" borderId="21" xfId="0" applyFont="1" applyFill="1" applyBorder="1" applyAlignment="1">
      <alignment vertical="center" wrapText="1"/>
    </xf>
    <xf numFmtId="0" fontId="11" fillId="0" borderId="28" xfId="2" applyFont="1" applyFill="1" applyBorder="1" applyAlignment="1"/>
    <xf numFmtId="0" fontId="11" fillId="0" borderId="1" xfId="2" applyFont="1" applyFill="1" applyBorder="1" applyAlignment="1"/>
    <xf numFmtId="0" fontId="11" fillId="0" borderId="57" xfId="2" applyFont="1" applyFill="1" applyBorder="1" applyAlignment="1"/>
    <xf numFmtId="0" fontId="11" fillId="0" borderId="48" xfId="2" applyFont="1" applyFill="1" applyBorder="1" applyAlignment="1">
      <alignment vertical="center"/>
    </xf>
    <xf numFmtId="0" fontId="11" fillId="0" borderId="1" xfId="2" applyFont="1" applyFill="1" applyBorder="1" applyAlignment="1">
      <alignment vertical="center"/>
    </xf>
    <xf numFmtId="0" fontId="11" fillId="0" borderId="57" xfId="2" applyFont="1" applyFill="1" applyBorder="1" applyAlignment="1">
      <alignment vertical="center"/>
    </xf>
    <xf numFmtId="0" fontId="64" fillId="0" borderId="48" xfId="2" applyFont="1" applyFill="1" applyBorder="1" applyAlignment="1">
      <alignment horizontal="center" vertical="center" shrinkToFit="1"/>
    </xf>
    <xf numFmtId="0" fontId="64" fillId="0" borderId="1" xfId="2" applyFont="1" applyFill="1" applyBorder="1" applyAlignment="1">
      <alignment horizontal="center" vertical="center" shrinkToFit="1"/>
    </xf>
    <xf numFmtId="0" fontId="64" fillId="0" borderId="57" xfId="2" applyFont="1" applyFill="1" applyBorder="1" applyAlignment="1">
      <alignment horizontal="center" vertical="center" shrinkToFit="1"/>
    </xf>
    <xf numFmtId="0" fontId="64" fillId="0" borderId="48" xfId="2" applyFont="1" applyFill="1" applyBorder="1" applyAlignment="1">
      <alignment horizontal="center" vertical="center" wrapText="1" shrinkToFit="1"/>
    </xf>
    <xf numFmtId="0" fontId="64" fillId="0" borderId="1" xfId="2" applyFont="1" applyFill="1" applyBorder="1" applyAlignment="1">
      <alignment horizontal="center" vertical="center" wrapText="1" shrinkToFit="1"/>
    </xf>
    <xf numFmtId="0" fontId="64" fillId="0" borderId="57" xfId="2" applyFont="1" applyFill="1" applyBorder="1" applyAlignment="1">
      <alignment horizontal="center" vertical="center" wrapText="1" shrinkToFit="1"/>
    </xf>
    <xf numFmtId="14" fontId="11" fillId="0" borderId="60" xfId="2" applyNumberFormat="1" applyFont="1" applyFill="1" applyBorder="1" applyAlignment="1">
      <alignment horizontal="center" vertical="center"/>
    </xf>
    <xf numFmtId="20" fontId="11" fillId="0" borderId="60" xfId="2" applyNumberFormat="1" applyFont="1" applyFill="1" applyBorder="1" applyAlignment="1">
      <alignment horizontal="center" vertical="center"/>
    </xf>
    <xf numFmtId="0" fontId="11" fillId="0" borderId="27" xfId="2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horizontal="center"/>
    </xf>
    <xf numFmtId="0" fontId="11" fillId="0" borderId="23" xfId="0" applyFont="1" applyFill="1" applyBorder="1" applyAlignment="1">
      <alignment horizontal="center"/>
    </xf>
    <xf numFmtId="0" fontId="11" fillId="0" borderId="61" xfId="0" applyFont="1" applyFill="1" applyBorder="1" applyAlignment="1">
      <alignment horizontal="center"/>
    </xf>
    <xf numFmtId="0" fontId="11" fillId="0" borderId="15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/>
    </xf>
    <xf numFmtId="0" fontId="11" fillId="0" borderId="19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vertical="center"/>
    </xf>
    <xf numFmtId="0" fontId="11" fillId="0" borderId="29" xfId="0" applyFont="1" applyFill="1" applyBorder="1" applyAlignment="1">
      <alignment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15" fillId="12" borderId="59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horizontal="center" vertical="center"/>
    </xf>
    <xf numFmtId="0" fontId="37" fillId="0" borderId="0" xfId="2" applyFont="1" applyFill="1" applyBorder="1" applyAlignment="1">
      <alignment horizontal="center" vertical="center" wrapText="1"/>
    </xf>
    <xf numFmtId="0" fontId="64" fillId="0" borderId="22" xfId="2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11" fillId="0" borderId="22" xfId="0" applyFont="1" applyFill="1" applyBorder="1" applyAlignment="1">
      <alignment vertical="center" wrapText="1"/>
    </xf>
    <xf numFmtId="0" fontId="66" fillId="0" borderId="0" xfId="2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1" fillId="0" borderId="37" xfId="2" applyFont="1" applyFill="1" applyBorder="1" applyAlignment="1">
      <alignment horizontal="left" vertical="center" wrapText="1"/>
    </xf>
    <xf numFmtId="0" fontId="11" fillId="0" borderId="18" xfId="2" applyFont="1" applyFill="1" applyBorder="1" applyAlignment="1">
      <alignment horizontal="left" vertical="center" wrapText="1"/>
    </xf>
    <xf numFmtId="0" fontId="86" fillId="0" borderId="28" xfId="3" applyFont="1" applyFill="1" applyBorder="1" applyAlignment="1">
      <alignment horizontal="center" vertical="center"/>
    </xf>
    <xf numFmtId="0" fontId="86" fillId="0" borderId="1" xfId="3" applyFont="1" applyFill="1" applyBorder="1" applyAlignment="1">
      <alignment horizontal="center" vertical="center"/>
    </xf>
    <xf numFmtId="0" fontId="86" fillId="0" borderId="30" xfId="3" applyFont="1" applyFill="1" applyBorder="1" applyAlignment="1">
      <alignment horizontal="center" vertical="center"/>
    </xf>
    <xf numFmtId="0" fontId="28" fillId="0" borderId="37" xfId="2" applyFont="1" applyFill="1" applyBorder="1" applyAlignment="1">
      <alignment horizontal="center" vertical="center" shrinkToFit="1"/>
    </xf>
    <xf numFmtId="0" fontId="28" fillId="0" borderId="18" xfId="2" applyFont="1" applyFill="1" applyBorder="1" applyAlignment="1">
      <alignment horizontal="center" vertical="center" shrinkToFit="1"/>
    </xf>
    <xf numFmtId="0" fontId="28" fillId="0" borderId="20" xfId="2" applyFont="1" applyFill="1" applyBorder="1" applyAlignment="1">
      <alignment horizontal="center" vertical="center" shrinkToFit="1"/>
    </xf>
    <xf numFmtId="0" fontId="11" fillId="0" borderId="15" xfId="0" applyFont="1" applyFill="1" applyBorder="1" applyAlignment="1"/>
    <xf numFmtId="0" fontId="11" fillId="0" borderId="0" xfId="0" applyFont="1" applyFill="1" applyBorder="1" applyAlignment="1"/>
    <xf numFmtId="0" fontId="11" fillId="0" borderId="17" xfId="0" applyFont="1" applyFill="1" applyBorder="1" applyAlignment="1"/>
    <xf numFmtId="0" fontId="11" fillId="0" borderId="37" xfId="0" applyFont="1" applyFill="1" applyBorder="1" applyAlignment="1">
      <alignment vertical="center" shrinkToFit="1"/>
    </xf>
    <xf numFmtId="0" fontId="11" fillId="0" borderId="18" xfId="0" applyFont="1" applyFill="1" applyBorder="1" applyAlignment="1">
      <alignment vertical="center" shrinkToFit="1"/>
    </xf>
    <xf numFmtId="0" fontId="11" fillId="0" borderId="20" xfId="0" applyFont="1" applyFill="1" applyBorder="1" applyAlignment="1">
      <alignment vertical="center" shrinkToFit="1"/>
    </xf>
    <xf numFmtId="0" fontId="11" fillId="0" borderId="48" xfId="0" applyFont="1" applyFill="1" applyBorder="1" applyAlignment="1"/>
    <xf numFmtId="0" fontId="11" fillId="0" borderId="30" xfId="0" applyFont="1" applyFill="1" applyBorder="1" applyAlignment="1"/>
    <xf numFmtId="0" fontId="85" fillId="0" borderId="48" xfId="2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vertical="center"/>
    </xf>
    <xf numFmtId="0" fontId="11" fillId="0" borderId="6" xfId="0" applyFont="1" applyFill="1" applyBorder="1" applyAlignment="1"/>
    <xf numFmtId="0" fontId="11" fillId="0" borderId="5" xfId="0" applyFont="1" applyFill="1" applyBorder="1" applyAlignment="1"/>
    <xf numFmtId="0" fontId="15" fillId="0" borderId="0" xfId="2" applyFont="1" applyFill="1" applyBorder="1" applyAlignment="1">
      <alignment vertical="center" wrapText="1"/>
    </xf>
    <xf numFmtId="0" fontId="11" fillId="0" borderId="17" xfId="0" applyFont="1" applyFill="1" applyBorder="1" applyAlignment="1">
      <alignment vertical="center" wrapText="1"/>
    </xf>
    <xf numFmtId="0" fontId="11" fillId="0" borderId="5" xfId="0" applyFont="1" applyFill="1" applyBorder="1" applyAlignment="1">
      <alignment vertical="center" wrapText="1"/>
    </xf>
    <xf numFmtId="0" fontId="11" fillId="0" borderId="8" xfId="0" applyFont="1" applyFill="1" applyBorder="1" applyAlignment="1">
      <alignment vertical="center" wrapText="1"/>
    </xf>
    <xf numFmtId="0" fontId="64" fillId="0" borderId="31" xfId="0" applyFont="1" applyFill="1" applyBorder="1" applyAlignment="1">
      <alignment vertical="center"/>
    </xf>
    <xf numFmtId="0" fontId="11" fillId="0" borderId="61" xfId="0" applyFont="1" applyFill="1" applyBorder="1" applyAlignment="1"/>
    <xf numFmtId="0" fontId="11" fillId="0" borderId="22" xfId="0" applyFont="1" applyFill="1" applyBorder="1" applyAlignment="1"/>
    <xf numFmtId="0" fontId="11" fillId="0" borderId="16" xfId="0" applyFont="1" applyFill="1" applyBorder="1" applyAlignment="1"/>
    <xf numFmtId="0" fontId="11" fillId="0" borderId="25" xfId="0" applyFont="1" applyFill="1" applyBorder="1" applyAlignment="1"/>
    <xf numFmtId="0" fontId="11" fillId="0" borderId="7" xfId="0" applyFont="1" applyFill="1" applyBorder="1" applyAlignment="1"/>
    <xf numFmtId="0" fontId="64" fillId="0" borderId="60" xfId="0" applyFont="1" applyFill="1" applyBorder="1" applyAlignment="1">
      <alignment vertical="center"/>
    </xf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20" xfId="0" applyFont="1" applyFill="1" applyBorder="1" applyAlignment="1"/>
    <xf numFmtId="0" fontId="64" fillId="0" borderId="60" xfId="2" applyFont="1" applyFill="1" applyBorder="1" applyAlignment="1"/>
    <xf numFmtId="0" fontId="11" fillId="0" borderId="23" xfId="2" applyFont="1" applyFill="1" applyBorder="1" applyAlignment="1">
      <alignment vertical="center"/>
    </xf>
    <xf numFmtId="0" fontId="85" fillId="0" borderId="19" xfId="2" applyFont="1" applyFill="1" applyBorder="1" applyAlignment="1">
      <alignment horizontal="center" vertical="center"/>
    </xf>
    <xf numFmtId="0" fontId="7" fillId="0" borderId="10" xfId="2" applyFont="1" applyFill="1" applyBorder="1" applyAlignment="1">
      <alignment horizontal="center" vertical="center"/>
    </xf>
    <xf numFmtId="0" fontId="0" fillId="0" borderId="5" xfId="0" applyBorder="1" applyAlignment="1"/>
    <xf numFmtId="0" fontId="11" fillId="0" borderId="10" xfId="2" applyFont="1" applyFill="1" applyBorder="1" applyAlignment="1">
      <alignment vertical="center"/>
    </xf>
    <xf numFmtId="0" fontId="0" fillId="0" borderId="10" xfId="0" applyBorder="1" applyAlignment="1"/>
    <xf numFmtId="0" fontId="0" fillId="0" borderId="14" xfId="0" applyBorder="1" applyAlignment="1"/>
    <xf numFmtId="0" fontId="0" fillId="0" borderId="8" xfId="0" applyBorder="1" applyAlignment="1"/>
    <xf numFmtId="0" fontId="15" fillId="0" borderId="59" xfId="2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5" xfId="0" applyBorder="1" applyAlignment="1"/>
    <xf numFmtId="0" fontId="7" fillId="0" borderId="59" xfId="2" applyFont="1" applyFill="1" applyBorder="1" applyAlignment="1">
      <alignment horizontal="center" vertical="center"/>
    </xf>
    <xf numFmtId="0" fontId="51" fillId="0" borderId="0" xfId="0" applyFont="1" applyFill="1" applyAlignment="1">
      <alignment horizontal="center" vertical="center" wrapText="1"/>
    </xf>
    <xf numFmtId="0" fontId="52" fillId="0" borderId="5" xfId="0" applyFont="1" applyFill="1" applyBorder="1" applyAlignment="1">
      <alignment horizontal="center" vertical="center" wrapText="1"/>
    </xf>
    <xf numFmtId="0" fontId="97" fillId="14" borderId="0" xfId="0" applyFont="1" applyFill="1" applyBorder="1" applyAlignment="1">
      <alignment horizontal="center" vertical="center"/>
    </xf>
    <xf numFmtId="0" fontId="96" fillId="14" borderId="0" xfId="0" applyFont="1" applyFill="1" applyBorder="1" applyAlignment="1">
      <alignment horizontal="left" wrapText="1"/>
    </xf>
  </cellXfs>
  <cellStyles count="5">
    <cellStyle name="Hyperlink" xfId="1" builtinId="8"/>
    <cellStyle name="Normal" xfId="0" builtinId="0"/>
    <cellStyle name="Normal 2" xfId="2"/>
    <cellStyle name="Normal 3" xfId="3"/>
    <cellStyle name="Normal 3 2" xfId="4"/>
  </cellStyles>
  <dxfs count="0"/>
  <tableStyles count="0" defaultTableStyle="TableStyleMedium9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581025</xdr:colOff>
      <xdr:row>0</xdr:row>
      <xdr:rowOff>657225</xdr:rowOff>
    </xdr:to>
    <xdr:pic>
      <xdr:nvPicPr>
        <xdr:cNvPr id="9440" name="Picture 2">
          <a:extLst>
            <a:ext uri="{FF2B5EF4-FFF2-40B4-BE49-F238E27FC236}">
              <a16:creationId xmlns:a16="http://schemas.microsoft.com/office/drawing/2014/main" id="{00000000-0008-0000-0000-0000E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295400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21974" y="132073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93973" y="18330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28575</xdr:rowOff>
        </xdr:from>
        <xdr:to>
          <xdr:col>2</xdr:col>
          <xdr:colOff>914400</xdr:colOff>
          <xdr:row>4</xdr:row>
          <xdr:rowOff>228600</xdr:rowOff>
        </xdr:to>
        <xdr:sp macro="" textlink="">
          <xdr:nvSpPr>
            <xdr:cNvPr id="13328" name="Object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1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37</xdr:row>
          <xdr:rowOff>76200</xdr:rowOff>
        </xdr:from>
        <xdr:to>
          <xdr:col>11</xdr:col>
          <xdr:colOff>828675</xdr:colOff>
          <xdr:row>39</xdr:row>
          <xdr:rowOff>152400</xdr:rowOff>
        </xdr:to>
        <xdr:sp macro="" textlink="">
          <xdr:nvSpPr>
            <xdr:cNvPr id="13385" name="Button 73" descr="EXECUTE&#10;(SGS use only)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1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EXECUTE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SGS use only*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266700</xdr:colOff>
          <xdr:row>3</xdr:row>
          <xdr:rowOff>38100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14</xdr:row>
          <xdr:rowOff>28575</xdr:rowOff>
        </xdr:from>
        <xdr:to>
          <xdr:col>11</xdr:col>
          <xdr:colOff>333375</xdr:colOff>
          <xdr:row>15</xdr:row>
          <xdr:rowOff>0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31</xdr:row>
          <xdr:rowOff>28575</xdr:rowOff>
        </xdr:from>
        <xdr:to>
          <xdr:col>0</xdr:col>
          <xdr:colOff>333375</xdr:colOff>
          <xdr:row>32</xdr:row>
          <xdr:rowOff>38100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2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1408" name="Picture 15">
          <a:extLst>
            <a:ext uri="{FF2B5EF4-FFF2-40B4-BE49-F238E27FC236}">
              <a16:creationId xmlns:a16="http://schemas.microsoft.com/office/drawing/2014/main" id="{00000000-0008-0000-03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171450</xdr:colOff>
      <xdr:row>4</xdr:row>
      <xdr:rowOff>123825</xdr:rowOff>
    </xdr:to>
    <xdr:pic>
      <xdr:nvPicPr>
        <xdr:cNvPr id="8589" name="Picture 8">
          <a:extLst>
            <a:ext uri="{FF2B5EF4-FFF2-40B4-BE49-F238E27FC236}">
              <a16:creationId xmlns:a16="http://schemas.microsoft.com/office/drawing/2014/main" id="{00000000-0008-0000-0400-00008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905000" cy="885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19050</xdr:rowOff>
    </xdr:from>
    <xdr:to>
      <xdr:col>9</xdr:col>
      <xdr:colOff>114300</xdr:colOff>
      <xdr:row>4</xdr:row>
      <xdr:rowOff>114300</xdr:rowOff>
    </xdr:to>
    <xdr:pic>
      <xdr:nvPicPr>
        <xdr:cNvPr id="7609" name="Picture 8">
          <a:extLst>
            <a:ext uri="{FF2B5EF4-FFF2-40B4-BE49-F238E27FC236}">
              <a16:creationId xmlns:a16="http://schemas.microsoft.com/office/drawing/2014/main" id="{00000000-0008-0000-0500-0000B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19050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0</xdr:rowOff>
    </xdr:from>
    <xdr:to>
      <xdr:col>9</xdr:col>
      <xdr:colOff>152400</xdr:colOff>
      <xdr:row>4</xdr:row>
      <xdr:rowOff>114300</xdr:rowOff>
    </xdr:to>
    <xdr:pic>
      <xdr:nvPicPr>
        <xdr:cNvPr id="11682" name="Picture 6">
          <a:extLst>
            <a:ext uri="{FF2B5EF4-FFF2-40B4-BE49-F238E27FC236}">
              <a16:creationId xmlns:a16="http://schemas.microsoft.com/office/drawing/2014/main" id="{00000000-0008-0000-0600-0000A2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85950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9525</xdr:rowOff>
    </xdr:from>
    <xdr:to>
      <xdr:col>9</xdr:col>
      <xdr:colOff>114300</xdr:colOff>
      <xdr:row>4</xdr:row>
      <xdr:rowOff>104775</xdr:rowOff>
    </xdr:to>
    <xdr:pic>
      <xdr:nvPicPr>
        <xdr:cNvPr id="5542" name="Picture 8">
          <a:extLst>
            <a:ext uri="{FF2B5EF4-FFF2-40B4-BE49-F238E27FC236}">
              <a16:creationId xmlns:a16="http://schemas.microsoft.com/office/drawing/2014/main" id="{00000000-0008-0000-0700-0000A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9525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142875</xdr:colOff>
      <xdr:row>4</xdr:row>
      <xdr:rowOff>114300</xdr:rowOff>
    </xdr:to>
    <xdr:pic>
      <xdr:nvPicPr>
        <xdr:cNvPr id="6566" name="Picture 8">
          <a:extLst>
            <a:ext uri="{FF2B5EF4-FFF2-40B4-BE49-F238E27FC236}">
              <a16:creationId xmlns:a16="http://schemas.microsoft.com/office/drawing/2014/main" id="{00000000-0008-0000-0800-0000A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76425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238125</xdr:colOff>
      <xdr:row>0</xdr:row>
      <xdr:rowOff>0</xdr:rowOff>
    </xdr:from>
    <xdr:ext cx="1857375" cy="857250"/>
    <xdr:pic>
      <xdr:nvPicPr>
        <xdr:cNvPr id="2" name="Picture 1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5775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314450" cy="666750"/>
    <xdr:pic>
      <xdr:nvPicPr>
        <xdr:cNvPr id="2" name="Picture 1" descr="Corporate_BLK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314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12</xdr:row>
          <xdr:rowOff>114300</xdr:rowOff>
        </xdr:from>
        <xdr:to>
          <xdr:col>6</xdr:col>
          <xdr:colOff>352425</xdr:colOff>
          <xdr:row>12</xdr:row>
          <xdr:rowOff>333375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</xdr:row>
          <xdr:rowOff>152400</xdr:rowOff>
        </xdr:from>
        <xdr:to>
          <xdr:col>0</xdr:col>
          <xdr:colOff>361950</xdr:colOff>
          <xdr:row>24</xdr:row>
          <xdr:rowOff>9525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14</xdr:row>
          <xdr:rowOff>390525</xdr:rowOff>
        </xdr:from>
        <xdr:to>
          <xdr:col>1</xdr:col>
          <xdr:colOff>333375</xdr:colOff>
          <xdr:row>16</xdr:row>
          <xdr:rowOff>28575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13</xdr:row>
          <xdr:rowOff>114300</xdr:rowOff>
        </xdr:from>
        <xdr:to>
          <xdr:col>6</xdr:col>
          <xdr:colOff>352425</xdr:colOff>
          <xdr:row>13</xdr:row>
          <xdr:rowOff>333375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14</xdr:row>
          <xdr:rowOff>114300</xdr:rowOff>
        </xdr:from>
        <xdr:to>
          <xdr:col>6</xdr:col>
          <xdr:colOff>352425</xdr:colOff>
          <xdr:row>14</xdr:row>
          <xdr:rowOff>333375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866775</xdr:colOff>
          <xdr:row>20</xdr:row>
          <xdr:rowOff>28575</xdr:rowOff>
        </xdr:from>
        <xdr:to>
          <xdr:col>0</xdr:col>
          <xdr:colOff>1104900</xdr:colOff>
          <xdr:row>21</xdr:row>
          <xdr:rowOff>19050</xdr:rowOff>
        </xdr:to>
        <xdr:sp macro="" textlink="">
          <xdr:nvSpPr>
            <xdr:cNvPr id="26631" name="Check Box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20</xdr:row>
          <xdr:rowOff>28575</xdr:rowOff>
        </xdr:from>
        <xdr:to>
          <xdr:col>5</xdr:col>
          <xdr:colOff>171450</xdr:colOff>
          <xdr:row>21</xdr:row>
          <xdr:rowOff>19050</xdr:rowOff>
        </xdr:to>
        <xdr:sp macro="" textlink="">
          <xdr:nvSpPr>
            <xdr:cNvPr id="26632" name="Check Box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28575</xdr:rowOff>
        </xdr:from>
        <xdr:to>
          <xdr:col>6</xdr:col>
          <xdr:colOff>247650</xdr:colOff>
          <xdr:row>21</xdr:row>
          <xdr:rowOff>19050</xdr:rowOff>
        </xdr:to>
        <xdr:sp macro="" textlink="">
          <xdr:nvSpPr>
            <xdr:cNvPr id="26633" name="Check Box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B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247650</xdr:colOff>
          <xdr:row>29</xdr:row>
          <xdr:rowOff>0</xdr:rowOff>
        </xdr:to>
        <xdr:sp macro="" textlink="">
          <xdr:nvSpPr>
            <xdr:cNvPr id="26634" name="Check Box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B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247650</xdr:colOff>
          <xdr:row>30</xdr:row>
          <xdr:rowOff>0</xdr:rowOff>
        </xdr:to>
        <xdr:sp macro="" textlink="">
          <xdr:nvSpPr>
            <xdr:cNvPr id="26635" name="Check Box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B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161925</xdr:rowOff>
        </xdr:from>
        <xdr:to>
          <xdr:col>1</xdr:col>
          <xdr:colOff>323850</xdr:colOff>
          <xdr:row>17</xdr:row>
          <xdr:rowOff>38100</xdr:rowOff>
        </xdr:to>
        <xdr:sp macro="" textlink="">
          <xdr:nvSpPr>
            <xdr:cNvPr id="26636" name="Check Box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B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</xdr:row>
          <xdr:rowOff>152400</xdr:rowOff>
        </xdr:from>
        <xdr:to>
          <xdr:col>0</xdr:col>
          <xdr:colOff>361950</xdr:colOff>
          <xdr:row>26</xdr:row>
          <xdr:rowOff>9525</xdr:rowOff>
        </xdr:to>
        <xdr:sp macro="" textlink="">
          <xdr:nvSpPr>
            <xdr:cNvPr id="26637" name="Check Box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B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38" name="Check Box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B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14</xdr:row>
          <xdr:rowOff>390525</xdr:rowOff>
        </xdr:from>
        <xdr:to>
          <xdr:col>4</xdr:col>
          <xdr:colOff>66675</xdr:colOff>
          <xdr:row>16</xdr:row>
          <xdr:rowOff>28575</xdr:rowOff>
        </xdr:to>
        <xdr:sp macro="" textlink="">
          <xdr:nvSpPr>
            <xdr:cNvPr id="26639" name="Check Box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B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16</xdr:row>
          <xdr:rowOff>390525</xdr:rowOff>
        </xdr:from>
        <xdr:to>
          <xdr:col>1</xdr:col>
          <xdr:colOff>333375</xdr:colOff>
          <xdr:row>18</xdr:row>
          <xdr:rowOff>9525</xdr:rowOff>
        </xdr:to>
        <xdr:sp macro="" textlink="">
          <xdr:nvSpPr>
            <xdr:cNvPr id="26640" name="Check Box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B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236889" cy="627407"/>
    <xdr:pic>
      <xdr:nvPicPr>
        <xdr:cNvPr id="3" name="Picture 2" descr="Corporate_BLK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236889" cy="6274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104775</xdr:rowOff>
        </xdr:from>
        <xdr:to>
          <xdr:col>0</xdr:col>
          <xdr:colOff>3076575</xdr:colOff>
          <xdr:row>1</xdr:row>
          <xdr:rowOff>0</xdr:rowOff>
        </xdr:to>
        <xdr:sp macro="" textlink="">
          <xdr:nvSpPr>
            <xdr:cNvPr id="12289" name="Object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en@kenaiwatershed.org" TargetMode="External"/><Relationship Id="rId6" Type="http://schemas.openxmlformats.org/officeDocument/2006/relationships/image" Target="../media/image2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3.xml"/><Relationship Id="rId5" Type="http://schemas.openxmlformats.org/officeDocument/2006/relationships/image" Target="../media/image7.emf"/><Relationship Id="rId4" Type="http://schemas.openxmlformats.org/officeDocument/2006/relationships/oleObject" Target="../embeddings/oleObject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36"/>
  <sheetViews>
    <sheetView zoomScale="55" zoomScaleNormal="55" workbookViewId="0">
      <selection activeCell="U20" sqref="U20"/>
    </sheetView>
  </sheetViews>
  <sheetFormatPr defaultColWidth="10.7109375" defaultRowHeight="12.75"/>
  <sheetData>
    <row r="1" spans="1:7" ht="99.75" customHeight="1">
      <c r="A1" s="30"/>
      <c r="D1" s="614" t="s">
        <v>961</v>
      </c>
      <c r="E1" s="614"/>
      <c r="F1" s="614"/>
      <c r="G1" s="614"/>
    </row>
    <row r="3" spans="1:7" ht="40.5" customHeight="1">
      <c r="B3" s="550" t="s">
        <v>74</v>
      </c>
      <c r="C3" s="99"/>
    </row>
    <row r="4" spans="1:7" ht="25.5">
      <c r="B4" s="548" t="s">
        <v>597</v>
      </c>
      <c r="C4" s="96"/>
      <c r="D4" s="96"/>
    </row>
    <row r="5" spans="1:7" ht="25.5">
      <c r="B5" s="548" t="s">
        <v>660</v>
      </c>
      <c r="C5" s="96"/>
      <c r="D5" s="96"/>
    </row>
    <row r="6" spans="1:7" ht="25.5">
      <c r="B6" s="548" t="s">
        <v>658</v>
      </c>
      <c r="C6" s="96"/>
      <c r="D6" s="96"/>
    </row>
    <row r="7" spans="1:7" ht="25.5">
      <c r="B7" s="548" t="s">
        <v>659</v>
      </c>
      <c r="C7" s="96"/>
      <c r="D7" s="96"/>
    </row>
    <row r="8" spans="1:7" ht="25.5">
      <c r="B8" s="548" t="s">
        <v>75</v>
      </c>
      <c r="C8" s="96"/>
      <c r="D8" s="96"/>
    </row>
    <row r="9" spans="1:7" ht="25.5">
      <c r="B9" s="548" t="s">
        <v>67</v>
      </c>
      <c r="C9" s="96"/>
      <c r="D9" s="96"/>
    </row>
    <row r="10" spans="1:7" ht="25.5">
      <c r="B10" s="548" t="s">
        <v>661</v>
      </c>
      <c r="C10" s="96"/>
      <c r="D10" s="96"/>
    </row>
    <row r="11" spans="1:7" ht="25.5">
      <c r="B11" s="548" t="s">
        <v>662</v>
      </c>
      <c r="C11" s="96"/>
      <c r="D11" s="96"/>
    </row>
    <row r="12" spans="1:7" ht="25.5">
      <c r="B12" s="548" t="s">
        <v>663</v>
      </c>
      <c r="C12" s="96"/>
      <c r="D12" s="96"/>
    </row>
    <row r="13" spans="1:7" ht="25.5">
      <c r="B13" s="548" t="s">
        <v>664</v>
      </c>
      <c r="C13" s="96"/>
      <c r="D13" s="96"/>
    </row>
    <row r="14" spans="1:7" ht="25.5">
      <c r="B14" s="548" t="s">
        <v>68</v>
      </c>
      <c r="C14" s="96"/>
      <c r="D14" s="96"/>
    </row>
    <row r="15" spans="1:7" ht="25.5">
      <c r="B15" s="548" t="s">
        <v>69</v>
      </c>
      <c r="C15" s="96"/>
      <c r="D15" s="96"/>
    </row>
    <row r="16" spans="1:7" ht="25.5">
      <c r="B16" s="548" t="s">
        <v>70</v>
      </c>
      <c r="C16" s="96"/>
      <c r="D16" s="96"/>
    </row>
    <row r="17" spans="1:4" ht="25.5">
      <c r="B17" s="548" t="s">
        <v>665</v>
      </c>
      <c r="C17" s="96"/>
      <c r="D17" s="96"/>
    </row>
    <row r="18" spans="1:4" ht="25.5">
      <c r="B18" s="548" t="s">
        <v>71</v>
      </c>
      <c r="C18" s="96"/>
      <c r="D18" s="96"/>
    </row>
    <row r="19" spans="1:4" ht="25.5">
      <c r="B19" s="548" t="s">
        <v>72</v>
      </c>
      <c r="C19" s="96"/>
      <c r="D19" s="96"/>
    </row>
    <row r="20" spans="1:4" ht="25.5">
      <c r="B20" s="548" t="s">
        <v>73</v>
      </c>
    </row>
    <row r="21" spans="1:4" ht="25.5">
      <c r="B21" s="548"/>
    </row>
    <row r="22" spans="1:4" ht="26.25">
      <c r="A22" s="96"/>
      <c r="B22" s="547" t="s">
        <v>76</v>
      </c>
    </row>
    <row r="23" spans="1:4" ht="25.5">
      <c r="A23" s="95"/>
      <c r="B23" s="548" t="s">
        <v>962</v>
      </c>
    </row>
    <row r="24" spans="1:4" ht="25.5">
      <c r="A24" s="95"/>
      <c r="B24" s="548" t="s">
        <v>963</v>
      </c>
    </row>
    <row r="25" spans="1:4" ht="25.5">
      <c r="B25" s="548" t="s">
        <v>964</v>
      </c>
    </row>
    <row r="26" spans="1:4" ht="25.5">
      <c r="B26" s="548" t="s">
        <v>965</v>
      </c>
    </row>
    <row r="27" spans="1:4" ht="25.5">
      <c r="B27" s="548" t="s">
        <v>966</v>
      </c>
    </row>
    <row r="28" spans="1:4" ht="25.5">
      <c r="B28" s="548" t="s">
        <v>967</v>
      </c>
    </row>
    <row r="29" spans="1:4" ht="25.5">
      <c r="B29" s="548" t="s">
        <v>968</v>
      </c>
    </row>
    <row r="30" spans="1:4" ht="25.5">
      <c r="B30" s="548" t="s">
        <v>969</v>
      </c>
    </row>
    <row r="31" spans="1:4" ht="25.5">
      <c r="B31" s="548" t="s">
        <v>970</v>
      </c>
    </row>
    <row r="32" spans="1:4" ht="25.5">
      <c r="B32" s="548" t="s">
        <v>1102</v>
      </c>
    </row>
    <row r="33" spans="2:2" ht="25.5">
      <c r="B33" s="548"/>
    </row>
    <row r="34" spans="2:2" ht="26.25">
      <c r="B34" s="549" t="s">
        <v>492</v>
      </c>
    </row>
    <row r="35" spans="2:2" ht="26.25">
      <c r="B35" s="549" t="s">
        <v>493</v>
      </c>
    </row>
    <row r="36" spans="2:2" ht="26.25">
      <c r="B36" s="549" t="s">
        <v>494</v>
      </c>
    </row>
  </sheetData>
  <mergeCells count="1">
    <mergeCell ref="D1:G1"/>
  </mergeCells>
  <phoneticPr fontId="3" type="noConversion"/>
  <pageMargins left="0.75" right="0.75" top="1" bottom="1" header="0.5" footer="0.5"/>
  <pageSetup orientation="landscape" r:id="rId1"/>
  <headerFooter alignWithMargins="0">
    <oddFooter>&amp;RF083-Kit_Request_and_COC_Templates-Instr'n
Revised 2014-05-21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A96"/>
  <sheetViews>
    <sheetView zoomScale="70" zoomScaleNormal="70" workbookViewId="0">
      <selection activeCell="J22" sqref="J22"/>
    </sheetView>
  </sheetViews>
  <sheetFormatPr defaultColWidth="10" defaultRowHeight="18"/>
  <cols>
    <col min="1" max="1" width="11.7109375" style="159" customWidth="1"/>
    <col min="2" max="2" width="10.7109375" style="159" customWidth="1"/>
    <col min="3" max="3" width="20.7109375" style="159" customWidth="1"/>
    <col min="4" max="4" width="24" style="159" customWidth="1"/>
    <col min="5" max="7" width="20.7109375" style="159" customWidth="1"/>
    <col min="8" max="8" width="20.7109375" style="98" customWidth="1"/>
    <col min="9" max="9" width="30.7109375" style="98" customWidth="1"/>
    <col min="10" max="10" width="22.5703125" style="98" customWidth="1"/>
    <col min="11" max="11" width="11.42578125" style="98" customWidth="1"/>
    <col min="12" max="12" width="23.28515625" style="98" bestFit="1" customWidth="1"/>
    <col min="13" max="13" width="6.140625" style="98" customWidth="1"/>
    <col min="14" max="14" width="29.42578125" style="99" hidden="1" customWidth="1"/>
    <col min="15" max="16" width="10" style="99" customWidth="1"/>
    <col min="17" max="27" width="10" style="218" customWidth="1"/>
    <col min="28" max="16384" width="10" style="99"/>
  </cols>
  <sheetData>
    <row r="1" spans="1:27" ht="18" customHeight="1">
      <c r="F1" s="646" t="str">
        <f>CONCATENATE("*",C7,"_",C10,"_",(TEXT(L11,"yyyymmdd")),"*")</f>
        <v>*Kenai Watershed Forum_Kenai River Baseline Water Quality Monitoring_19000100*</v>
      </c>
      <c r="G1" s="647"/>
      <c r="H1" s="647"/>
      <c r="I1" s="647"/>
      <c r="J1" s="647"/>
      <c r="K1" s="647"/>
      <c r="L1" s="647"/>
    </row>
    <row r="2" spans="1:27" ht="36" customHeight="1">
      <c r="F2" s="647"/>
      <c r="G2" s="647"/>
      <c r="H2" s="647"/>
      <c r="I2" s="647"/>
      <c r="J2" s="647"/>
      <c r="K2" s="647"/>
      <c r="L2" s="647"/>
    </row>
    <row r="3" spans="1:27" s="186" customFormat="1" ht="21" customHeight="1" thickBot="1">
      <c r="A3" s="153"/>
      <c r="B3" s="153"/>
      <c r="C3" s="153"/>
      <c r="D3" s="151" t="s">
        <v>30</v>
      </c>
      <c r="E3" s="151"/>
      <c r="F3" s="647"/>
      <c r="G3" s="647"/>
      <c r="H3" s="647"/>
      <c r="I3" s="647"/>
      <c r="J3" s="647"/>
      <c r="K3" s="647"/>
      <c r="L3" s="647"/>
      <c r="M3" s="185"/>
      <c r="Q3" s="187" t="s">
        <v>705</v>
      </c>
      <c r="R3" s="187"/>
      <c r="S3" s="187" t="s">
        <v>693</v>
      </c>
      <c r="T3" s="187"/>
      <c r="U3" s="187" t="s">
        <v>713</v>
      </c>
      <c r="V3" s="187"/>
      <c r="W3" s="187" t="s">
        <v>654</v>
      </c>
      <c r="X3" s="187"/>
      <c r="Y3" s="187"/>
      <c r="Z3" s="187" t="s">
        <v>520</v>
      </c>
      <c r="AA3" s="187"/>
    </row>
    <row r="4" spans="1:27" s="186" customFormat="1" ht="50.25" customHeight="1" thickBot="1">
      <c r="A4" s="153"/>
      <c r="B4" s="153"/>
      <c r="C4" s="153"/>
      <c r="D4" s="188" t="s">
        <v>500</v>
      </c>
      <c r="E4" s="188" t="s">
        <v>750</v>
      </c>
      <c r="F4" s="648" t="s">
        <v>77</v>
      </c>
      <c r="G4" s="648"/>
      <c r="H4" s="185"/>
      <c r="I4" s="189" t="s">
        <v>431</v>
      </c>
      <c r="J4" s="251" t="s">
        <v>1187</v>
      </c>
      <c r="K4" s="190" t="s">
        <v>432</v>
      </c>
      <c r="L4" s="191"/>
      <c r="M4" s="185"/>
      <c r="Q4" s="187" t="s">
        <v>513</v>
      </c>
      <c r="R4" s="187"/>
      <c r="S4" s="187" t="s">
        <v>695</v>
      </c>
      <c r="T4" s="187"/>
      <c r="U4" s="187" t="s">
        <v>103</v>
      </c>
      <c r="V4" s="187"/>
      <c r="W4" s="187" t="s">
        <v>444</v>
      </c>
      <c r="X4" s="187"/>
      <c r="Y4" s="187"/>
      <c r="Z4" s="187" t="s">
        <v>521</v>
      </c>
      <c r="AA4" s="187"/>
    </row>
    <row r="5" spans="1:27" s="186" customFormat="1" ht="26.25" customHeight="1">
      <c r="A5" s="153"/>
      <c r="B5" s="153"/>
      <c r="C5" s="153"/>
      <c r="F5" s="220"/>
      <c r="G5" s="219"/>
      <c r="H5" s="219"/>
      <c r="I5" s="632" t="s">
        <v>546</v>
      </c>
      <c r="J5" s="632"/>
      <c r="K5" s="632"/>
      <c r="L5" s="632"/>
      <c r="M5" s="185"/>
      <c r="Q5" s="187" t="s">
        <v>518</v>
      </c>
      <c r="R5" s="187"/>
      <c r="S5" s="187" t="s">
        <v>694</v>
      </c>
      <c r="T5" s="187"/>
      <c r="U5" s="187" t="s">
        <v>194</v>
      </c>
      <c r="V5" s="187"/>
      <c r="W5" s="187" t="s">
        <v>251</v>
      </c>
      <c r="X5" s="187"/>
      <c r="Y5" s="187"/>
      <c r="Z5" s="187" t="s">
        <v>552</v>
      </c>
      <c r="AA5" s="187"/>
    </row>
    <row r="6" spans="1:27" s="186" customFormat="1" ht="21" thickBot="1">
      <c r="A6" s="153"/>
      <c r="B6" s="221" t="s">
        <v>772</v>
      </c>
      <c r="C6" s="221"/>
      <c r="D6" s="221"/>
      <c r="E6" s="221"/>
      <c r="F6" s="220"/>
      <c r="G6" s="219"/>
      <c r="H6" s="219"/>
      <c r="I6" s="192" t="s">
        <v>433</v>
      </c>
      <c r="J6" s="633"/>
      <c r="K6" s="633"/>
      <c r="L6" s="633"/>
      <c r="M6" s="185"/>
      <c r="Q6" s="187" t="s">
        <v>517</v>
      </c>
      <c r="R6" s="187"/>
      <c r="S6" s="187" t="s">
        <v>445</v>
      </c>
      <c r="T6" s="187"/>
      <c r="U6" s="187" t="s">
        <v>95</v>
      </c>
      <c r="V6" s="187"/>
      <c r="W6" s="187" t="s">
        <v>284</v>
      </c>
      <c r="X6" s="187"/>
      <c r="Y6" s="187"/>
      <c r="Z6" s="187" t="s">
        <v>519</v>
      </c>
      <c r="AA6" s="187"/>
    </row>
    <row r="7" spans="1:27" s="186" customFormat="1" ht="18.75" thickBot="1">
      <c r="A7" s="153"/>
      <c r="B7" s="193" t="s">
        <v>434</v>
      </c>
      <c r="C7" s="655" t="s">
        <v>1181</v>
      </c>
      <c r="D7" s="655"/>
      <c r="E7" s="655"/>
      <c r="F7" s="655"/>
      <c r="G7" s="153"/>
      <c r="H7" s="185"/>
      <c r="I7" s="194" t="s">
        <v>545</v>
      </c>
      <c r="J7" s="634"/>
      <c r="K7" s="634"/>
      <c r="L7" s="634"/>
      <c r="M7" s="185"/>
      <c r="N7" s="195" t="str">
        <f>("*"&amp;C6&amp;""&amp;C11&amp;""&amp;TEXT(L11, "mmdd")&amp;"*")</f>
        <v>*0100*</v>
      </c>
      <c r="Q7" s="187" t="s">
        <v>697</v>
      </c>
      <c r="R7" s="187"/>
      <c r="S7" s="187" t="s">
        <v>714</v>
      </c>
      <c r="T7" s="187"/>
      <c r="U7" s="187" t="s">
        <v>104</v>
      </c>
      <c r="V7" s="187"/>
      <c r="W7" s="187" t="s">
        <v>749</v>
      </c>
      <c r="X7" s="187"/>
      <c r="Y7" s="187"/>
      <c r="Z7" s="187" t="s">
        <v>155</v>
      </c>
      <c r="AA7" s="187"/>
    </row>
    <row r="8" spans="1:27" s="186" customFormat="1" ht="21.95" customHeight="1" thickBot="1">
      <c r="A8" s="153"/>
      <c r="B8" s="196" t="s">
        <v>436</v>
      </c>
      <c r="C8" s="653" t="s">
        <v>1182</v>
      </c>
      <c r="D8" s="653"/>
      <c r="E8" s="607"/>
      <c r="F8" s="608"/>
      <c r="G8" s="153"/>
      <c r="H8" s="185"/>
      <c r="I8" s="194" t="s">
        <v>435</v>
      </c>
      <c r="J8" s="634"/>
      <c r="K8" s="634"/>
      <c r="L8" s="634"/>
      <c r="M8" s="185"/>
      <c r="N8" s="198">
        <f>LEN(N7)-2</f>
        <v>4</v>
      </c>
      <c r="Q8" s="187" t="s">
        <v>715</v>
      </c>
      <c r="R8" s="187"/>
      <c r="S8" s="187" t="s">
        <v>716</v>
      </c>
      <c r="T8" s="187"/>
      <c r="U8" s="187" t="s">
        <v>89</v>
      </c>
      <c r="V8" s="187"/>
      <c r="W8" s="187" t="s">
        <v>712</v>
      </c>
      <c r="X8" s="187"/>
      <c r="Y8" s="187"/>
      <c r="Z8" s="187" t="s">
        <v>93</v>
      </c>
      <c r="AA8" s="187"/>
    </row>
    <row r="9" spans="1:27" s="186" customFormat="1" ht="20.100000000000001" customHeight="1" thickBot="1">
      <c r="A9" s="153"/>
      <c r="B9" s="193" t="s">
        <v>711</v>
      </c>
      <c r="C9" s="654" t="s">
        <v>1183</v>
      </c>
      <c r="D9" s="653"/>
      <c r="E9" s="653"/>
      <c r="F9" s="653"/>
      <c r="G9" s="153"/>
      <c r="I9" s="199" t="s">
        <v>437</v>
      </c>
      <c r="J9" s="635"/>
      <c r="K9" s="635"/>
      <c r="L9" s="635"/>
      <c r="M9" s="185"/>
      <c r="Q9" s="187" t="s">
        <v>516</v>
      </c>
      <c r="R9" s="187"/>
      <c r="S9" s="187" t="s">
        <v>551</v>
      </c>
      <c r="T9" s="200"/>
      <c r="U9" s="187"/>
      <c r="V9" s="187"/>
      <c r="W9" s="187" t="s">
        <v>446</v>
      </c>
      <c r="X9" s="187"/>
      <c r="Y9" s="187"/>
      <c r="Z9" s="187" t="s">
        <v>112</v>
      </c>
      <c r="AA9" s="187"/>
    </row>
    <row r="10" spans="1:27" s="186" customFormat="1" ht="20.100000000000001" customHeight="1" thickBot="1">
      <c r="A10" s="644" t="s">
        <v>439</v>
      </c>
      <c r="B10" s="644"/>
      <c r="C10" s="653" t="s">
        <v>1201</v>
      </c>
      <c r="D10" s="653"/>
      <c r="E10" s="609" t="s">
        <v>751</v>
      </c>
      <c r="F10" s="610"/>
      <c r="G10" s="153"/>
      <c r="I10" s="199" t="s">
        <v>438</v>
      </c>
      <c r="J10" s="634"/>
      <c r="K10" s="634"/>
      <c r="L10" s="634"/>
      <c r="M10" s="185"/>
      <c r="Q10" s="187" t="s">
        <v>515</v>
      </c>
      <c r="R10" s="187"/>
      <c r="S10" s="187"/>
      <c r="T10" s="200"/>
      <c r="U10" s="187"/>
      <c r="V10" s="187"/>
      <c r="W10" s="187" t="s">
        <v>447</v>
      </c>
      <c r="X10" s="187"/>
      <c r="Y10" s="187"/>
      <c r="Z10" s="187" t="s">
        <v>522</v>
      </c>
      <c r="AA10" s="187"/>
    </row>
    <row r="11" spans="1:27" s="186" customFormat="1" ht="20.100000000000001" customHeight="1" thickBot="1">
      <c r="A11" s="645" t="s">
        <v>440</v>
      </c>
      <c r="B11" s="645"/>
      <c r="C11" s="653"/>
      <c r="D11" s="653"/>
      <c r="E11" s="609" t="s">
        <v>1179</v>
      </c>
      <c r="F11" s="610"/>
      <c r="G11" s="153"/>
      <c r="I11" s="199" t="s">
        <v>441</v>
      </c>
      <c r="J11" s="197"/>
      <c r="K11" s="199" t="s">
        <v>442</v>
      </c>
      <c r="L11" s="250"/>
      <c r="M11" s="185"/>
      <c r="Q11" s="187" t="s">
        <v>514</v>
      </c>
      <c r="R11" s="187"/>
      <c r="S11" s="187"/>
      <c r="T11" s="187"/>
      <c r="U11" s="187"/>
      <c r="V11" s="187"/>
      <c r="W11" s="187" t="s">
        <v>448</v>
      </c>
      <c r="X11" s="187"/>
      <c r="Y11" s="187"/>
      <c r="Z11" s="187" t="s">
        <v>290</v>
      </c>
      <c r="AA11" s="187"/>
    </row>
    <row r="12" spans="1:27" s="186" customFormat="1" ht="20.100000000000001" customHeight="1" thickBot="1">
      <c r="A12" s="637" t="s">
        <v>748</v>
      </c>
      <c r="B12" s="637"/>
      <c r="C12" s="653"/>
      <c r="D12" s="653"/>
      <c r="E12" s="655"/>
      <c r="F12" s="653"/>
      <c r="G12" s="153"/>
      <c r="I12" s="199" t="s">
        <v>443</v>
      </c>
      <c r="J12" s="197"/>
      <c r="K12" s="199" t="s">
        <v>442</v>
      </c>
      <c r="L12" s="202"/>
      <c r="M12" s="185"/>
      <c r="Q12" s="187" t="s">
        <v>550</v>
      </c>
      <c r="R12" s="187"/>
      <c r="S12" s="187"/>
      <c r="T12" s="187"/>
      <c r="U12" s="187"/>
      <c r="V12" s="187"/>
      <c r="W12" s="187" t="s">
        <v>449</v>
      </c>
      <c r="X12" s="187"/>
      <c r="Y12" s="187"/>
      <c r="Z12" s="187" t="s">
        <v>252</v>
      </c>
      <c r="AA12" s="187"/>
    </row>
    <row r="13" spans="1:27" s="186" customFormat="1" ht="20.100000000000001" customHeight="1" thickBot="1">
      <c r="A13" s="637"/>
      <c r="B13" s="637"/>
      <c r="C13" s="656" t="s">
        <v>1188</v>
      </c>
      <c r="D13" s="656"/>
      <c r="E13" s="656"/>
      <c r="F13" s="656"/>
      <c r="G13" s="195"/>
      <c r="H13" s="185"/>
      <c r="I13" s="199" t="s">
        <v>771</v>
      </c>
      <c r="J13" s="201"/>
      <c r="K13" s="199" t="s">
        <v>442</v>
      </c>
      <c r="L13" s="197"/>
      <c r="M13" s="185"/>
      <c r="Q13" s="187" t="s">
        <v>512</v>
      </c>
      <c r="R13" s="187"/>
      <c r="S13" s="187"/>
      <c r="T13" s="187"/>
      <c r="U13" s="187"/>
      <c r="V13" s="187"/>
      <c r="W13" s="187"/>
      <c r="X13" s="187"/>
      <c r="Y13" s="187"/>
      <c r="Z13" s="187" t="s">
        <v>457</v>
      </c>
      <c r="AA13" s="187"/>
    </row>
    <row r="14" spans="1:27" s="186" customFormat="1" ht="19.899999999999999" customHeight="1" thickBot="1">
      <c r="A14" s="637"/>
      <c r="B14" s="637"/>
      <c r="C14" s="656" t="s">
        <v>1189</v>
      </c>
      <c r="D14" s="656"/>
      <c r="E14" s="656"/>
      <c r="F14" s="656"/>
      <c r="G14" s="195"/>
      <c r="H14" s="185"/>
      <c r="I14" s="194" t="s">
        <v>630</v>
      </c>
      <c r="J14" s="197"/>
      <c r="K14" s="194" t="s">
        <v>442</v>
      </c>
      <c r="L14" s="197"/>
      <c r="M14" s="185"/>
      <c r="Q14" s="187" t="s">
        <v>511</v>
      </c>
      <c r="R14" s="187"/>
      <c r="S14" s="187"/>
      <c r="T14" s="187"/>
      <c r="U14" s="187"/>
      <c r="V14" s="187"/>
      <c r="W14" s="187"/>
      <c r="X14" s="187"/>
      <c r="Y14" s="187"/>
      <c r="Z14" s="187"/>
      <c r="AA14" s="187"/>
    </row>
    <row r="15" spans="1:27" s="186" customFormat="1" ht="20.100000000000001" customHeight="1" thickBot="1">
      <c r="A15" s="203"/>
      <c r="B15" s="203" t="s">
        <v>743</v>
      </c>
      <c r="C15" s="204" t="str">
        <f>CONCATENATE("SKIT","_",C7,"_",C10,"_",(TEXT(L11,"yyyy-mm-dd")))</f>
        <v>SKIT_Kenai Watershed Forum_Kenai River Baseline Water Quality Monitoring_1900-01-00</v>
      </c>
      <c r="D15" s="203"/>
      <c r="E15" s="205" t="s">
        <v>744</v>
      </c>
      <c r="F15" s="203"/>
      <c r="G15" s="203"/>
      <c r="H15" s="185"/>
      <c r="I15" s="185"/>
      <c r="J15" s="185"/>
      <c r="K15" s="185"/>
      <c r="L15" s="185"/>
      <c r="M15" s="185"/>
      <c r="Q15" s="187" t="s">
        <v>510</v>
      </c>
      <c r="R15" s="187"/>
      <c r="S15" s="187"/>
      <c r="T15" s="187"/>
      <c r="U15" s="187"/>
      <c r="V15" s="187"/>
      <c r="W15" s="187"/>
      <c r="X15" s="187"/>
      <c r="Y15" s="187"/>
      <c r="Z15" s="187"/>
      <c r="AA15" s="187"/>
    </row>
    <row r="16" spans="1:27" s="186" customFormat="1" ht="20.100000000000001" customHeight="1">
      <c r="A16" s="206" t="s">
        <v>450</v>
      </c>
      <c r="B16" s="638" t="s">
        <v>82</v>
      </c>
      <c r="C16" s="638" t="s">
        <v>451</v>
      </c>
      <c r="D16" s="649"/>
      <c r="E16" s="638" t="s">
        <v>452</v>
      </c>
      <c r="F16" s="640"/>
      <c r="G16" s="638" t="s">
        <v>453</v>
      </c>
      <c r="H16" s="207"/>
      <c r="I16" s="208" t="s">
        <v>85</v>
      </c>
      <c r="J16" s="207" t="s">
        <v>454</v>
      </c>
      <c r="K16" s="207" t="s">
        <v>455</v>
      </c>
      <c r="L16" s="209" t="s">
        <v>456</v>
      </c>
      <c r="Q16" s="187"/>
      <c r="R16" s="187"/>
      <c r="S16" s="187"/>
      <c r="T16" s="187"/>
      <c r="U16" s="187" t="s">
        <v>1121</v>
      </c>
      <c r="V16" s="187"/>
      <c r="W16" s="187"/>
      <c r="X16" s="187"/>
      <c r="Y16" s="187"/>
      <c r="Z16" s="187"/>
      <c r="AA16" s="187"/>
    </row>
    <row r="17" spans="1:27" s="186" customFormat="1" ht="20.100000000000001" customHeight="1">
      <c r="A17" s="210" t="s">
        <v>458</v>
      </c>
      <c r="B17" s="650"/>
      <c r="C17" s="650"/>
      <c r="D17" s="650"/>
      <c r="E17" s="641"/>
      <c r="F17" s="639"/>
      <c r="G17" s="639"/>
      <c r="H17" s="211" t="s">
        <v>459</v>
      </c>
      <c r="I17" s="211" t="s">
        <v>460</v>
      </c>
      <c r="J17" s="211" t="s">
        <v>12</v>
      </c>
      <c r="K17" s="211" t="s">
        <v>461</v>
      </c>
      <c r="L17" s="212" t="s">
        <v>461</v>
      </c>
      <c r="Q17" s="187" t="s">
        <v>1103</v>
      </c>
      <c r="R17" s="187"/>
      <c r="S17" s="187"/>
      <c r="T17" s="187"/>
      <c r="U17" s="187" t="s">
        <v>1117</v>
      </c>
      <c r="V17" s="187"/>
      <c r="W17" s="187"/>
      <c r="X17" s="187"/>
      <c r="Y17" s="187"/>
      <c r="Z17" s="187"/>
      <c r="AA17" s="187"/>
    </row>
    <row r="18" spans="1:27" s="186" customFormat="1" ht="36.75" customHeight="1">
      <c r="A18" s="213">
        <v>25</v>
      </c>
      <c r="B18" s="213" t="s">
        <v>1184</v>
      </c>
      <c r="C18" s="651" t="s">
        <v>1205</v>
      </c>
      <c r="D18" s="652"/>
      <c r="E18" s="214" t="s">
        <v>517</v>
      </c>
      <c r="F18" s="213" t="s">
        <v>445</v>
      </c>
      <c r="G18" s="213" t="s">
        <v>444</v>
      </c>
      <c r="H18" s="213"/>
      <c r="I18" s="213"/>
      <c r="J18" s="213" t="s">
        <v>112</v>
      </c>
      <c r="K18" s="213"/>
      <c r="L18" s="213">
        <v>25</v>
      </c>
      <c r="Q18" s="187" t="s">
        <v>1128</v>
      </c>
      <c r="R18" s="187"/>
      <c r="S18" s="187"/>
      <c r="T18" s="187"/>
      <c r="U18" s="187" t="s">
        <v>1118</v>
      </c>
      <c r="V18" s="187"/>
      <c r="W18" s="187"/>
      <c r="X18" s="187"/>
      <c r="Y18" s="187"/>
      <c r="Z18" s="187"/>
      <c r="AA18" s="187"/>
    </row>
    <row r="19" spans="1:27" s="186" customFormat="1" ht="24.95" customHeight="1">
      <c r="A19" s="213">
        <v>25</v>
      </c>
      <c r="B19" s="213" t="s">
        <v>1184</v>
      </c>
      <c r="C19" s="636" t="s">
        <v>1185</v>
      </c>
      <c r="D19" s="636"/>
      <c r="E19" s="214" t="s">
        <v>518</v>
      </c>
      <c r="F19" s="213" t="s">
        <v>445</v>
      </c>
      <c r="G19" s="213" t="s">
        <v>251</v>
      </c>
      <c r="H19" s="213"/>
      <c r="I19" s="213"/>
      <c r="J19" s="213" t="s">
        <v>252</v>
      </c>
      <c r="K19" s="213"/>
      <c r="L19" s="213">
        <v>25</v>
      </c>
      <c r="P19" s="216"/>
      <c r="Q19" s="187" t="s">
        <v>1129</v>
      </c>
      <c r="R19" s="187"/>
      <c r="S19" s="187"/>
      <c r="T19" s="187"/>
      <c r="U19" s="187" t="s">
        <v>1119</v>
      </c>
      <c r="V19" s="187"/>
      <c r="W19" s="187"/>
      <c r="X19" s="187"/>
      <c r="Y19" s="187"/>
      <c r="Z19" s="187"/>
      <c r="AA19" s="187"/>
    </row>
    <row r="20" spans="1:27" s="186" customFormat="1" ht="24.95" customHeight="1">
      <c r="A20" s="213">
        <v>13</v>
      </c>
      <c r="B20" s="213" t="s">
        <v>1184</v>
      </c>
      <c r="C20" s="636" t="s">
        <v>1186</v>
      </c>
      <c r="D20" s="636"/>
      <c r="E20" s="214" t="s">
        <v>518</v>
      </c>
      <c r="F20" s="213" t="s">
        <v>445</v>
      </c>
      <c r="G20" s="213" t="s">
        <v>1206</v>
      </c>
      <c r="H20" s="213"/>
      <c r="I20" s="213"/>
      <c r="J20" s="213"/>
      <c r="K20" s="213"/>
      <c r="L20" s="213">
        <v>14</v>
      </c>
      <c r="P20" s="216"/>
      <c r="Q20" s="187"/>
      <c r="R20" s="200"/>
      <c r="S20" s="187"/>
      <c r="T20" s="200"/>
      <c r="U20" s="187" t="s">
        <v>1120</v>
      </c>
      <c r="V20" s="200"/>
      <c r="W20" s="187"/>
      <c r="X20" s="200"/>
      <c r="Y20" s="200"/>
      <c r="Z20" s="187"/>
      <c r="AA20" s="200"/>
    </row>
    <row r="21" spans="1:27" s="186" customFormat="1" ht="24.95" customHeight="1">
      <c r="A21" s="613"/>
      <c r="B21" s="613"/>
      <c r="C21" s="636"/>
      <c r="D21" s="636"/>
      <c r="E21" s="613"/>
      <c r="F21" s="613"/>
      <c r="G21" s="613"/>
      <c r="H21" s="613"/>
      <c r="I21" s="613"/>
      <c r="J21" s="613"/>
      <c r="K21" s="613"/>
      <c r="L21" s="613"/>
      <c r="P21" s="216"/>
      <c r="Q21" s="187" t="s">
        <v>806</v>
      </c>
      <c r="R21" s="200"/>
      <c r="S21" s="187"/>
      <c r="T21" s="200"/>
      <c r="U21" s="187"/>
      <c r="V21" s="200"/>
      <c r="W21" s="187"/>
      <c r="X21" s="200"/>
      <c r="Y21" s="200"/>
      <c r="Z21" s="187"/>
      <c r="AA21" s="200"/>
    </row>
    <row r="22" spans="1:27" s="186" customFormat="1" ht="24.95" customHeight="1">
      <c r="A22" s="213"/>
      <c r="B22" s="213"/>
      <c r="C22" s="636"/>
      <c r="D22" s="636"/>
      <c r="E22" s="214"/>
      <c r="F22" s="213"/>
      <c r="G22" s="213"/>
      <c r="H22" s="213"/>
      <c r="I22" s="213"/>
      <c r="J22" s="213"/>
      <c r="K22" s="213"/>
      <c r="L22" s="213"/>
      <c r="P22" s="216"/>
      <c r="Q22" s="217" t="s">
        <v>1111</v>
      </c>
      <c r="R22" s="200"/>
      <c r="S22" s="187"/>
      <c r="T22" s="200"/>
      <c r="U22" s="200" t="s">
        <v>806</v>
      </c>
      <c r="V22" s="200"/>
      <c r="W22" s="200"/>
      <c r="X22" s="200"/>
      <c r="Y22" s="200"/>
      <c r="Z22" s="187"/>
      <c r="AA22" s="200"/>
    </row>
    <row r="23" spans="1:27" s="186" customFormat="1" ht="24.95" customHeight="1">
      <c r="A23" s="213"/>
      <c r="B23" s="213"/>
      <c r="C23" s="657"/>
      <c r="D23" s="658"/>
      <c r="E23" s="214"/>
      <c r="F23" s="213"/>
      <c r="G23" s="213"/>
      <c r="H23" s="213"/>
      <c r="I23" s="213"/>
      <c r="J23" s="213"/>
      <c r="K23" s="213"/>
      <c r="L23" s="213"/>
      <c r="P23" s="216"/>
      <c r="Q23" s="217" t="s">
        <v>1112</v>
      </c>
      <c r="R23" s="200"/>
      <c r="S23" s="187"/>
      <c r="T23" s="200"/>
      <c r="U23" s="200" t="s">
        <v>807</v>
      </c>
      <c r="V23" s="200"/>
      <c r="W23" s="200"/>
      <c r="X23" s="200"/>
      <c r="Y23" s="200"/>
      <c r="Z23" s="200"/>
      <c r="AA23" s="200"/>
    </row>
    <row r="24" spans="1:27" s="186" customFormat="1" ht="24.95" customHeight="1">
      <c r="A24" s="213"/>
      <c r="B24" s="213"/>
      <c r="C24" s="657" t="s">
        <v>19</v>
      </c>
      <c r="D24" s="658"/>
      <c r="E24" s="214"/>
      <c r="F24" s="213"/>
      <c r="G24" s="213"/>
      <c r="H24" s="213"/>
      <c r="I24" s="213"/>
      <c r="J24" s="213"/>
      <c r="K24" s="213"/>
      <c r="L24" s="213"/>
      <c r="P24" s="216"/>
      <c r="Q24" s="217"/>
      <c r="R24" s="200"/>
      <c r="S24" s="187"/>
      <c r="T24" s="200"/>
      <c r="U24" s="200" t="s">
        <v>1132</v>
      </c>
      <c r="V24" s="200"/>
      <c r="W24" s="200"/>
      <c r="X24" s="200"/>
      <c r="Y24" s="200"/>
      <c r="Z24" s="200"/>
      <c r="AA24" s="200"/>
    </row>
    <row r="25" spans="1:27" s="186" customFormat="1" ht="24.95" customHeight="1">
      <c r="A25" s="213"/>
      <c r="B25" s="213"/>
      <c r="C25" s="657"/>
      <c r="D25" s="658"/>
      <c r="E25" s="214"/>
      <c r="F25" s="213"/>
      <c r="G25" s="213"/>
      <c r="H25" s="213"/>
      <c r="I25" s="213"/>
      <c r="J25" s="213"/>
      <c r="K25" s="213"/>
      <c r="L25" s="213"/>
      <c r="P25" s="216"/>
      <c r="Q25" s="217" t="s">
        <v>806</v>
      </c>
      <c r="R25" s="200"/>
      <c r="S25" s="187"/>
      <c r="T25" s="200"/>
      <c r="U25" s="200"/>
      <c r="V25" s="200"/>
      <c r="W25" s="200"/>
      <c r="X25" s="200"/>
      <c r="Y25" s="200"/>
      <c r="Z25" s="200"/>
      <c r="AA25" s="200"/>
    </row>
    <row r="26" spans="1:27" s="186" customFormat="1" ht="24.95" customHeight="1">
      <c r="A26" s="213"/>
      <c r="B26" s="213"/>
      <c r="C26" s="657"/>
      <c r="D26" s="658"/>
      <c r="E26" s="214"/>
      <c r="F26" s="213"/>
      <c r="G26" s="213"/>
      <c r="H26" s="213"/>
      <c r="I26" s="213"/>
      <c r="J26" s="213"/>
      <c r="K26" s="213"/>
      <c r="L26" s="213"/>
      <c r="P26" s="216"/>
      <c r="Q26" s="217" t="s">
        <v>1113</v>
      </c>
      <c r="R26" s="200"/>
      <c r="S26" s="187"/>
      <c r="T26" s="200"/>
      <c r="U26" s="200"/>
      <c r="V26" s="200"/>
      <c r="W26" s="200"/>
      <c r="X26" s="200"/>
      <c r="Y26" s="200"/>
      <c r="Z26" s="200"/>
      <c r="AA26" s="200"/>
    </row>
    <row r="27" spans="1:27" s="186" customFormat="1" ht="24.95" customHeight="1">
      <c r="A27" s="213"/>
      <c r="B27" s="213"/>
      <c r="C27" s="657"/>
      <c r="D27" s="658"/>
      <c r="E27" s="214"/>
      <c r="F27" s="213"/>
      <c r="G27" s="213"/>
      <c r="H27" s="213"/>
      <c r="I27" s="213"/>
      <c r="J27" s="213"/>
      <c r="K27" s="213"/>
      <c r="L27" s="213"/>
      <c r="P27" s="216"/>
      <c r="Q27" s="217" t="s">
        <v>1115</v>
      </c>
      <c r="R27" s="200"/>
      <c r="S27" s="187"/>
      <c r="T27" s="200"/>
      <c r="U27" s="200"/>
      <c r="V27" s="200"/>
      <c r="W27" s="200"/>
      <c r="X27" s="200"/>
      <c r="Y27" s="200"/>
      <c r="Z27" s="200"/>
      <c r="AA27" s="200"/>
    </row>
    <row r="28" spans="1:27" s="186" customFormat="1" ht="24.95" customHeight="1">
      <c r="A28" s="213"/>
      <c r="B28" s="213"/>
      <c r="C28" s="657"/>
      <c r="D28" s="658"/>
      <c r="E28" s="214"/>
      <c r="F28" s="213"/>
      <c r="G28" s="213"/>
      <c r="H28" s="215"/>
      <c r="I28" s="213"/>
      <c r="J28" s="213"/>
      <c r="K28" s="213"/>
      <c r="L28" s="213"/>
      <c r="P28" s="216"/>
      <c r="Q28" s="217" t="s">
        <v>1114</v>
      </c>
      <c r="R28" s="200"/>
      <c r="S28" s="200"/>
      <c r="T28" s="200"/>
      <c r="U28" s="200"/>
      <c r="V28" s="200"/>
      <c r="W28" s="200"/>
      <c r="X28" s="200"/>
      <c r="Y28" s="200"/>
      <c r="Z28" s="200"/>
      <c r="AA28" s="200"/>
    </row>
    <row r="29" spans="1:27" s="186" customFormat="1" ht="24.95" customHeight="1">
      <c r="A29" s="213"/>
      <c r="B29" s="213"/>
      <c r="C29" s="657"/>
      <c r="D29" s="658"/>
      <c r="E29" s="214"/>
      <c r="F29" s="213"/>
      <c r="G29" s="213"/>
      <c r="H29" s="213"/>
      <c r="I29" s="213"/>
      <c r="J29" s="213"/>
      <c r="K29" s="213"/>
      <c r="L29" s="213"/>
      <c r="P29" s="216"/>
      <c r="Q29" s="217"/>
      <c r="R29" s="200"/>
      <c r="S29" s="200"/>
      <c r="T29" s="200"/>
      <c r="U29" s="200"/>
      <c r="V29" s="200"/>
      <c r="W29" s="200"/>
      <c r="X29" s="200"/>
      <c r="Y29" s="200"/>
      <c r="Z29" s="200"/>
      <c r="AA29" s="200"/>
    </row>
    <row r="30" spans="1:27" s="186" customFormat="1" ht="24.95" customHeight="1">
      <c r="A30" s="642" t="s">
        <v>1135</v>
      </c>
      <c r="B30" s="643"/>
      <c r="C30" s="643"/>
      <c r="D30" s="643"/>
      <c r="E30" s="643"/>
      <c r="F30" s="643"/>
      <c r="G30" s="643"/>
      <c r="H30" s="643"/>
      <c r="I30" s="643"/>
      <c r="J30" s="643"/>
      <c r="K30" s="643"/>
      <c r="L30" s="643"/>
      <c r="P30" s="216"/>
      <c r="Q30" s="217"/>
      <c r="R30" s="200"/>
      <c r="S30" s="200"/>
      <c r="T30" s="200"/>
      <c r="U30" s="200"/>
      <c r="V30" s="200"/>
      <c r="W30" s="200"/>
      <c r="X30" s="200"/>
      <c r="Y30" s="200"/>
      <c r="Z30" s="200"/>
      <c r="AA30" s="200"/>
    </row>
    <row r="31" spans="1:27" s="186" customFormat="1" ht="19.899999999999999" customHeight="1">
      <c r="A31" s="617" t="s">
        <v>1133</v>
      </c>
      <c r="B31" s="617"/>
      <c r="C31" s="617"/>
      <c r="D31" s="617"/>
      <c r="E31" s="617"/>
      <c r="F31" s="618"/>
      <c r="G31" s="630" t="s">
        <v>1130</v>
      </c>
      <c r="H31" s="630"/>
      <c r="I31" s="630"/>
      <c r="J31" s="615" t="s">
        <v>462</v>
      </c>
      <c r="K31" s="616"/>
      <c r="L31" s="616"/>
      <c r="M31" s="185"/>
      <c r="Q31" s="217" t="s">
        <v>806</v>
      </c>
      <c r="R31" s="200"/>
      <c r="S31" s="200"/>
      <c r="T31" s="200"/>
      <c r="U31" s="200"/>
      <c r="V31" s="200"/>
      <c r="W31" s="200"/>
      <c r="X31" s="200"/>
      <c r="Y31" s="200"/>
      <c r="Z31" s="200"/>
      <c r="AA31" s="200"/>
    </row>
    <row r="32" spans="1:27" s="186" customFormat="1" ht="19.899999999999999" customHeight="1">
      <c r="A32" s="620" t="s">
        <v>1104</v>
      </c>
      <c r="B32" s="620"/>
      <c r="C32" s="620"/>
      <c r="D32" s="619" t="s">
        <v>1103</v>
      </c>
      <c r="E32" s="619"/>
      <c r="F32" s="619"/>
      <c r="G32" s="621" t="s">
        <v>1190</v>
      </c>
      <c r="H32" s="622"/>
      <c r="I32" s="623"/>
      <c r="J32" s="592" t="s">
        <v>1131</v>
      </c>
      <c r="K32" s="591"/>
      <c r="L32" s="591"/>
      <c r="M32" s="203"/>
      <c r="Q32" s="217" t="s">
        <v>807</v>
      </c>
      <c r="R32" s="200"/>
      <c r="S32" s="200"/>
      <c r="T32" s="200"/>
      <c r="U32" s="200"/>
      <c r="V32" s="200"/>
      <c r="W32" s="200"/>
      <c r="X32" s="200"/>
      <c r="Y32" s="200"/>
      <c r="Z32" s="200"/>
      <c r="AA32" s="200"/>
    </row>
    <row r="33" spans="1:27" s="186" customFormat="1" ht="19.899999999999999" customHeight="1">
      <c r="A33" s="620" t="s">
        <v>1105</v>
      </c>
      <c r="B33" s="620"/>
      <c r="C33" s="620"/>
      <c r="D33" s="619" t="s">
        <v>1111</v>
      </c>
      <c r="E33" s="619"/>
      <c r="F33" s="619"/>
      <c r="G33" s="624"/>
      <c r="H33" s="625"/>
      <c r="I33" s="626"/>
      <c r="J33" s="592" t="s">
        <v>1123</v>
      </c>
      <c r="K33" s="591"/>
      <c r="L33" s="591"/>
      <c r="M33" s="203"/>
      <c r="Q33" s="217"/>
      <c r="R33" s="200"/>
      <c r="S33" s="200"/>
      <c r="T33" s="200"/>
      <c r="U33" s="200"/>
      <c r="V33" s="200"/>
      <c r="W33" s="200"/>
      <c r="X33" s="200"/>
      <c r="Y33" s="200"/>
      <c r="Z33" s="200"/>
      <c r="AA33" s="200"/>
    </row>
    <row r="34" spans="1:27" s="186" customFormat="1" ht="19.899999999999999" customHeight="1">
      <c r="A34" s="620" t="s">
        <v>1106</v>
      </c>
      <c r="B34" s="620"/>
      <c r="C34" s="620"/>
      <c r="D34" s="619" t="s">
        <v>806</v>
      </c>
      <c r="E34" s="619"/>
      <c r="F34" s="619"/>
      <c r="G34" s="624"/>
      <c r="H34" s="625"/>
      <c r="I34" s="626"/>
      <c r="J34" s="592" t="s">
        <v>1124</v>
      </c>
      <c r="K34" s="591"/>
      <c r="L34" s="591"/>
      <c r="M34" s="185"/>
      <c r="Q34" s="200" t="s">
        <v>806</v>
      </c>
      <c r="R34" s="200"/>
      <c r="S34" s="200"/>
      <c r="T34" s="200"/>
      <c r="U34" s="200"/>
      <c r="V34" s="200"/>
      <c r="W34" s="200"/>
      <c r="X34" s="200"/>
      <c r="Y34" s="200"/>
      <c r="Z34" s="200"/>
      <c r="AA34" s="200"/>
    </row>
    <row r="35" spans="1:27" s="186" customFormat="1" ht="19.899999999999999" customHeight="1">
      <c r="A35" s="620" t="s">
        <v>1107</v>
      </c>
      <c r="B35" s="620"/>
      <c r="C35" s="620"/>
      <c r="D35" s="619" t="s">
        <v>807</v>
      </c>
      <c r="E35" s="619"/>
      <c r="F35" s="619"/>
      <c r="G35" s="624"/>
      <c r="H35" s="625"/>
      <c r="I35" s="626"/>
      <c r="J35" s="592" t="s">
        <v>1125</v>
      </c>
      <c r="K35" s="591"/>
      <c r="L35" s="591"/>
      <c r="M35" s="185"/>
      <c r="Q35" s="200" t="s">
        <v>1122</v>
      </c>
      <c r="R35" s="200"/>
      <c r="S35" s="200"/>
      <c r="T35" s="200"/>
      <c r="U35" s="200"/>
      <c r="V35" s="200"/>
      <c r="W35" s="200"/>
      <c r="X35" s="200"/>
      <c r="Y35" s="200"/>
      <c r="Z35" s="200"/>
      <c r="AA35" s="200"/>
    </row>
    <row r="36" spans="1:27" s="186" customFormat="1" ht="19.899999999999999" customHeight="1">
      <c r="A36" s="620" t="s">
        <v>1108</v>
      </c>
      <c r="B36" s="620"/>
      <c r="C36" s="620"/>
      <c r="D36" s="619" t="s">
        <v>807</v>
      </c>
      <c r="E36" s="619"/>
      <c r="F36" s="619"/>
      <c r="G36" s="624"/>
      <c r="H36" s="625"/>
      <c r="I36" s="626"/>
      <c r="J36" s="592" t="s">
        <v>1126</v>
      </c>
      <c r="K36" s="591"/>
      <c r="L36" s="591"/>
      <c r="M36" s="185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</row>
    <row r="37" spans="1:27" s="186" customFormat="1" ht="19.899999999999999" customHeight="1">
      <c r="A37" s="620" t="s">
        <v>1109</v>
      </c>
      <c r="B37" s="620"/>
      <c r="C37" s="620"/>
      <c r="D37" s="619" t="s">
        <v>806</v>
      </c>
      <c r="E37" s="619"/>
      <c r="F37" s="619"/>
      <c r="G37" s="624"/>
      <c r="H37" s="625"/>
      <c r="I37" s="626"/>
      <c r="J37" s="593" t="s">
        <v>1127</v>
      </c>
      <c r="K37" s="591"/>
      <c r="L37" s="591"/>
      <c r="M37" s="185"/>
    </row>
    <row r="38" spans="1:27" s="186" customFormat="1" ht="19.899999999999999" customHeight="1">
      <c r="A38" s="620" t="s">
        <v>1110</v>
      </c>
      <c r="B38" s="620"/>
      <c r="C38" s="620"/>
      <c r="D38" s="619" t="s">
        <v>807</v>
      </c>
      <c r="E38" s="619"/>
      <c r="F38" s="619"/>
      <c r="G38" s="624"/>
      <c r="H38" s="625"/>
      <c r="I38" s="626"/>
      <c r="J38" s="591"/>
      <c r="K38" s="591"/>
      <c r="L38" s="591"/>
      <c r="M38" s="185"/>
    </row>
    <row r="39" spans="1:27" s="186" customFormat="1" ht="19.899999999999999" customHeight="1">
      <c r="A39" s="620" t="s">
        <v>1116</v>
      </c>
      <c r="B39" s="620"/>
      <c r="C39" s="620"/>
      <c r="D39" s="619" t="s">
        <v>1117</v>
      </c>
      <c r="E39" s="619"/>
      <c r="F39" s="619"/>
      <c r="G39" s="624"/>
      <c r="H39" s="625"/>
      <c r="I39" s="626"/>
      <c r="J39" s="591"/>
      <c r="K39" s="591"/>
      <c r="L39" s="591"/>
      <c r="M39" s="185"/>
    </row>
    <row r="40" spans="1:27" s="186" customFormat="1" ht="19.899999999999999" customHeight="1">
      <c r="A40" s="631" t="s">
        <v>1134</v>
      </c>
      <c r="B40" s="631"/>
      <c r="C40" s="631"/>
      <c r="D40" s="619" t="s">
        <v>806</v>
      </c>
      <c r="E40" s="619"/>
      <c r="F40" s="619"/>
      <c r="G40" s="627"/>
      <c r="H40" s="628"/>
      <c r="I40" s="629"/>
      <c r="J40" s="591"/>
      <c r="K40" s="591"/>
      <c r="L40" s="591"/>
      <c r="M40" s="185"/>
    </row>
    <row r="41" spans="1:27" s="186" customFormat="1" ht="19.899999999999999" customHeight="1">
      <c r="A41" s="591"/>
      <c r="B41" s="591"/>
      <c r="C41" s="591"/>
      <c r="D41" s="591"/>
      <c r="E41" s="591"/>
      <c r="F41" s="591"/>
      <c r="G41" s="591"/>
      <c r="H41" s="591"/>
      <c r="I41" s="591"/>
      <c r="J41" s="591"/>
      <c r="K41" s="591"/>
      <c r="L41" s="591"/>
      <c r="M41" s="185"/>
    </row>
    <row r="42" spans="1:27" s="186" customFormat="1" ht="19.899999999999999" customHeight="1">
      <c r="A42" s="591"/>
      <c r="B42" s="591"/>
      <c r="C42" s="591"/>
      <c r="D42" s="591"/>
      <c r="E42" s="591"/>
      <c r="F42" s="591"/>
      <c r="G42" s="591"/>
      <c r="H42" s="591"/>
      <c r="I42" s="591"/>
      <c r="J42" s="591"/>
      <c r="K42" s="591"/>
      <c r="L42" s="591"/>
      <c r="M42" s="185"/>
    </row>
    <row r="43" spans="1:27" s="186" customFormat="1" ht="19.899999999999999" customHeight="1">
      <c r="A43" s="591"/>
      <c r="B43" s="591"/>
      <c r="C43" s="591"/>
      <c r="D43" s="591"/>
      <c r="E43" s="591"/>
      <c r="F43" s="591"/>
      <c r="G43" s="591"/>
      <c r="H43" s="591"/>
      <c r="I43" s="591"/>
      <c r="J43" s="591"/>
      <c r="K43" s="591"/>
      <c r="L43" s="591"/>
      <c r="M43" s="185"/>
    </row>
    <row r="44" spans="1:27" s="186" customFormat="1" ht="19.899999999999999" customHeight="1">
      <c r="A44" s="591"/>
      <c r="B44" s="591"/>
      <c r="C44" s="591"/>
      <c r="D44" s="591"/>
      <c r="E44" s="591"/>
      <c r="F44" s="591"/>
      <c r="G44" s="591"/>
      <c r="H44" s="591"/>
      <c r="I44" s="591"/>
      <c r="J44" s="591"/>
      <c r="K44" s="591"/>
      <c r="L44" s="591"/>
      <c r="M44" s="185"/>
    </row>
    <row r="45" spans="1:27" ht="19.899999999999999" customHeight="1">
      <c r="A45" s="591"/>
      <c r="B45" s="591"/>
      <c r="C45" s="591"/>
      <c r="D45" s="591"/>
      <c r="E45" s="591"/>
      <c r="F45" s="591"/>
      <c r="G45" s="591"/>
      <c r="H45" s="591"/>
      <c r="I45" s="591"/>
      <c r="J45" s="591"/>
      <c r="K45" s="591"/>
      <c r="L45" s="591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</row>
    <row r="46" spans="1:27" ht="19.899999999999999" customHeight="1">
      <c r="A46" s="591"/>
      <c r="B46" s="591"/>
      <c r="C46" s="591"/>
      <c r="D46" s="591"/>
      <c r="E46" s="591"/>
      <c r="F46" s="591"/>
      <c r="G46" s="591"/>
      <c r="H46" s="591"/>
      <c r="I46" s="591"/>
      <c r="J46" s="591"/>
      <c r="K46" s="591"/>
      <c r="L46" s="591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</row>
    <row r="47" spans="1:27" ht="15" customHeight="1">
      <c r="A47" s="591"/>
      <c r="B47" s="591"/>
      <c r="C47" s="591"/>
      <c r="D47" s="591"/>
      <c r="E47" s="591"/>
      <c r="F47" s="591"/>
      <c r="G47" s="591"/>
      <c r="H47" s="591"/>
      <c r="I47" s="591"/>
      <c r="J47" s="591"/>
      <c r="K47" s="591"/>
      <c r="L47" s="591"/>
      <c r="M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</row>
    <row r="48" spans="1:27" ht="15">
      <c r="A48" s="98"/>
      <c r="B48" s="99"/>
      <c r="C48" s="99"/>
      <c r="D48" s="99"/>
      <c r="E48" s="98"/>
      <c r="F48" s="98"/>
      <c r="G48" s="98"/>
      <c r="H48" s="99"/>
      <c r="I48" s="99"/>
      <c r="J48" s="99"/>
      <c r="K48" s="99"/>
      <c r="L48" s="99"/>
      <c r="M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</row>
    <row r="49" spans="1:27" ht="15">
      <c r="A49" s="98"/>
      <c r="B49" s="98"/>
      <c r="C49" s="98"/>
      <c r="D49" s="98"/>
      <c r="E49" s="98"/>
      <c r="F49" s="98"/>
      <c r="G49" s="98"/>
      <c r="H49" s="99"/>
      <c r="I49" s="99"/>
      <c r="J49" s="99"/>
      <c r="K49" s="99"/>
      <c r="L49" s="99"/>
      <c r="M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</row>
    <row r="50" spans="1:27" ht="15">
      <c r="A50" s="98"/>
      <c r="B50" s="98"/>
      <c r="C50" s="98"/>
      <c r="D50" s="98"/>
      <c r="E50" s="98"/>
      <c r="F50" s="98"/>
      <c r="G50" s="98"/>
      <c r="H50" s="99"/>
      <c r="I50" s="99"/>
      <c r="J50" s="99"/>
      <c r="K50" s="99"/>
      <c r="L50" s="99"/>
      <c r="M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</row>
    <row r="51" spans="1:27" ht="15">
      <c r="A51" s="98"/>
      <c r="B51" s="98"/>
      <c r="C51" s="98"/>
      <c r="D51" s="98"/>
      <c r="E51" s="98"/>
      <c r="F51" s="98"/>
      <c r="G51" s="98"/>
      <c r="H51" s="99"/>
      <c r="I51" s="99"/>
      <c r="J51" s="99"/>
      <c r="K51" s="99"/>
      <c r="L51" s="99"/>
      <c r="M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</row>
    <row r="52" spans="1:27" ht="15">
      <c r="A52" s="98"/>
      <c r="B52" s="98"/>
      <c r="C52" s="98"/>
      <c r="D52" s="98"/>
      <c r="E52" s="98"/>
      <c r="F52" s="98"/>
      <c r="G52" s="98"/>
      <c r="M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</row>
    <row r="53" spans="1:27" ht="15">
      <c r="A53" s="98"/>
      <c r="B53" s="98"/>
      <c r="C53" s="98"/>
      <c r="D53" s="98"/>
      <c r="E53" s="98"/>
      <c r="F53" s="98"/>
      <c r="G53" s="98"/>
      <c r="M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</row>
    <row r="54" spans="1:27" ht="15">
      <c r="A54" s="98"/>
      <c r="B54" s="98"/>
      <c r="C54" s="98"/>
      <c r="D54" s="98"/>
      <c r="E54" s="98"/>
      <c r="F54" s="98"/>
      <c r="G54" s="98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</row>
    <row r="55" spans="1:27" ht="15">
      <c r="A55" s="98"/>
      <c r="B55" s="98"/>
      <c r="C55" s="98"/>
      <c r="D55" s="98"/>
      <c r="E55" s="98"/>
      <c r="F55" s="98"/>
      <c r="G55" s="98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</row>
    <row r="56" spans="1:27" ht="15">
      <c r="A56" s="98"/>
      <c r="B56" s="98"/>
      <c r="C56" s="98"/>
      <c r="D56" s="98"/>
      <c r="E56" s="98"/>
      <c r="F56" s="98"/>
      <c r="G56" s="98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</row>
    <row r="57" spans="1:27" ht="15">
      <c r="A57" s="98"/>
      <c r="B57" s="98"/>
      <c r="C57" s="98"/>
      <c r="D57" s="98"/>
      <c r="E57" s="98"/>
      <c r="F57" s="98"/>
      <c r="G57" s="98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</row>
    <row r="58" spans="1:27" ht="15">
      <c r="A58" s="98"/>
      <c r="B58" s="98"/>
      <c r="C58" s="98"/>
      <c r="D58" s="98"/>
      <c r="E58" s="98"/>
      <c r="F58" s="98"/>
      <c r="G58" s="98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</row>
    <row r="59" spans="1:27" ht="15">
      <c r="A59" s="98"/>
      <c r="B59" s="98"/>
      <c r="C59" s="98"/>
      <c r="D59" s="98"/>
      <c r="E59" s="98"/>
      <c r="F59" s="98"/>
      <c r="G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</row>
    <row r="60" spans="1:27" ht="15">
      <c r="A60" s="98"/>
      <c r="B60" s="98"/>
      <c r="C60" s="98"/>
      <c r="D60" s="98"/>
      <c r="E60" s="98"/>
      <c r="F60" s="98"/>
      <c r="G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</row>
    <row r="61" spans="1:27" ht="15">
      <c r="A61" s="98"/>
      <c r="B61" s="98"/>
      <c r="C61" s="98"/>
      <c r="D61" s="98"/>
      <c r="E61" s="98"/>
      <c r="F61" s="98"/>
      <c r="G61" s="98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</row>
    <row r="62" spans="1:27" ht="15">
      <c r="A62" s="98"/>
      <c r="B62" s="98"/>
      <c r="C62" s="98"/>
      <c r="D62" s="98"/>
      <c r="E62" s="98"/>
      <c r="F62" s="98"/>
      <c r="G62" s="98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</row>
    <row r="63" spans="1:27" ht="15">
      <c r="A63" s="98"/>
      <c r="B63" s="98"/>
      <c r="C63" s="98"/>
      <c r="D63" s="98"/>
      <c r="E63" s="98"/>
      <c r="F63" s="98"/>
      <c r="G63" s="98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</row>
    <row r="64" spans="1:27" ht="15">
      <c r="A64" s="98"/>
      <c r="B64" s="98"/>
      <c r="C64" s="98"/>
      <c r="D64" s="98"/>
      <c r="E64" s="98"/>
      <c r="F64" s="98"/>
      <c r="G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</row>
    <row r="65" spans="1:27" ht="15">
      <c r="A65" s="98"/>
      <c r="B65" s="98"/>
      <c r="C65" s="98"/>
      <c r="D65" s="98"/>
      <c r="E65" s="98"/>
      <c r="F65" s="98"/>
      <c r="G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</row>
    <row r="66" spans="1:27" ht="15">
      <c r="A66" s="98"/>
      <c r="B66" s="98"/>
      <c r="C66" s="98"/>
      <c r="D66" s="98"/>
      <c r="E66" s="98"/>
      <c r="F66" s="98"/>
      <c r="G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</row>
    <row r="67" spans="1:27" ht="15">
      <c r="A67" s="98"/>
      <c r="B67" s="98"/>
      <c r="C67" s="98"/>
      <c r="D67" s="98"/>
      <c r="E67" s="98"/>
      <c r="F67" s="98"/>
      <c r="G67" s="98"/>
      <c r="H67" s="99"/>
      <c r="I67" s="99"/>
      <c r="J67" s="99"/>
      <c r="K67" s="99"/>
      <c r="L67" s="99"/>
      <c r="M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</row>
    <row r="68" spans="1:27" ht="15">
      <c r="A68" s="98"/>
      <c r="B68" s="98"/>
      <c r="C68" s="98"/>
      <c r="D68" s="98"/>
      <c r="E68" s="98"/>
      <c r="F68" s="98"/>
      <c r="G68" s="98"/>
      <c r="H68" s="99"/>
      <c r="I68" s="99"/>
      <c r="J68" s="99"/>
      <c r="K68" s="99"/>
      <c r="L68" s="99"/>
      <c r="M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</row>
    <row r="69" spans="1:27" ht="15">
      <c r="A69" s="98"/>
      <c r="B69" s="98"/>
      <c r="C69" s="98"/>
      <c r="D69" s="98"/>
      <c r="E69" s="98"/>
      <c r="F69" s="98"/>
      <c r="G69" s="98"/>
      <c r="H69" s="99"/>
      <c r="I69" s="99"/>
      <c r="J69" s="99"/>
      <c r="K69" s="99"/>
      <c r="L69" s="99"/>
      <c r="M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</row>
    <row r="70" spans="1:27" ht="15">
      <c r="A70" s="98"/>
      <c r="B70" s="98"/>
      <c r="C70" s="98"/>
      <c r="D70" s="98"/>
      <c r="E70" s="98"/>
      <c r="F70" s="98"/>
      <c r="G70" s="98"/>
      <c r="H70" s="99"/>
      <c r="I70" s="99"/>
      <c r="J70" s="99"/>
      <c r="K70" s="99"/>
      <c r="L70" s="99"/>
      <c r="M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</row>
    <row r="71" spans="1:27" ht="15">
      <c r="A71" s="98"/>
      <c r="B71" s="98"/>
      <c r="C71" s="98"/>
      <c r="D71" s="98"/>
      <c r="E71" s="98"/>
      <c r="F71" s="98"/>
      <c r="G71" s="98"/>
      <c r="H71" s="99"/>
      <c r="I71" s="99"/>
      <c r="J71" s="99"/>
      <c r="K71" s="99"/>
      <c r="L71" s="99"/>
      <c r="M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</row>
    <row r="72" spans="1:27" ht="15">
      <c r="A72" s="98"/>
      <c r="B72" s="98"/>
      <c r="C72" s="98"/>
      <c r="D72" s="98"/>
      <c r="E72" s="98"/>
      <c r="F72" s="98"/>
      <c r="G72" s="98"/>
      <c r="H72" s="99"/>
      <c r="I72" s="99"/>
      <c r="J72" s="99"/>
      <c r="K72" s="99"/>
      <c r="L72" s="99"/>
      <c r="M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</row>
    <row r="73" spans="1:27" ht="15">
      <c r="A73" s="98"/>
      <c r="B73" s="98"/>
      <c r="C73" s="98"/>
      <c r="D73" s="98"/>
      <c r="E73" s="98"/>
      <c r="F73" s="98"/>
      <c r="G73" s="98"/>
      <c r="H73" s="99"/>
      <c r="I73" s="99"/>
      <c r="J73" s="99"/>
      <c r="K73" s="99"/>
      <c r="L73" s="99"/>
      <c r="M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</row>
    <row r="74" spans="1:27" ht="15">
      <c r="A74" s="98"/>
      <c r="B74" s="98"/>
      <c r="C74" s="98"/>
      <c r="D74" s="98"/>
      <c r="E74" s="98"/>
      <c r="F74" s="98"/>
      <c r="G74" s="98"/>
      <c r="H74" s="99"/>
      <c r="I74" s="99"/>
      <c r="J74" s="99"/>
      <c r="K74" s="99"/>
      <c r="L74" s="99"/>
      <c r="M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</row>
    <row r="75" spans="1:27" ht="15">
      <c r="A75" s="98"/>
      <c r="B75" s="98"/>
      <c r="C75" s="98"/>
      <c r="D75" s="98"/>
      <c r="E75" s="98"/>
      <c r="F75" s="98"/>
      <c r="G75" s="98"/>
      <c r="H75" s="99"/>
      <c r="I75" s="99"/>
      <c r="J75" s="99"/>
      <c r="K75" s="99"/>
      <c r="L75" s="99"/>
      <c r="M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</row>
    <row r="76" spans="1:27" ht="15">
      <c r="A76" s="98"/>
      <c r="B76" s="98"/>
      <c r="C76" s="98"/>
      <c r="D76" s="98"/>
      <c r="E76" s="98"/>
      <c r="F76" s="98"/>
      <c r="G76" s="98"/>
      <c r="H76" s="99"/>
      <c r="I76" s="99"/>
      <c r="J76" s="99"/>
      <c r="K76" s="99"/>
      <c r="L76" s="99"/>
      <c r="M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</row>
    <row r="77" spans="1:27" ht="15">
      <c r="A77" s="98"/>
      <c r="B77" s="98"/>
      <c r="C77" s="98"/>
      <c r="D77" s="98"/>
      <c r="E77" s="98"/>
      <c r="F77" s="98"/>
      <c r="G77" s="98"/>
      <c r="H77" s="99"/>
      <c r="I77" s="99"/>
      <c r="J77" s="99"/>
      <c r="K77" s="99"/>
      <c r="L77" s="99"/>
      <c r="M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</row>
    <row r="78" spans="1:27" ht="15">
      <c r="A78" s="98"/>
      <c r="B78" s="98"/>
      <c r="C78" s="98"/>
      <c r="D78" s="98"/>
      <c r="E78" s="98"/>
      <c r="F78" s="98"/>
      <c r="G78" s="98"/>
      <c r="H78" s="99"/>
      <c r="I78" s="99"/>
      <c r="J78" s="99"/>
      <c r="K78" s="99"/>
      <c r="L78" s="99"/>
      <c r="M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</row>
    <row r="79" spans="1:27" ht="15">
      <c r="A79" s="98"/>
      <c r="B79" s="98"/>
      <c r="C79" s="98"/>
      <c r="D79" s="98"/>
      <c r="E79" s="98"/>
      <c r="F79" s="98"/>
      <c r="G79" s="98"/>
      <c r="H79" s="99"/>
      <c r="I79" s="99"/>
      <c r="J79" s="99"/>
      <c r="K79" s="99"/>
      <c r="L79" s="99"/>
      <c r="M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</row>
    <row r="80" spans="1:27" ht="15">
      <c r="A80" s="98"/>
      <c r="B80" s="98"/>
      <c r="C80" s="98"/>
      <c r="D80" s="98"/>
      <c r="E80" s="98"/>
      <c r="F80" s="98"/>
      <c r="G80" s="98"/>
      <c r="H80" s="99"/>
      <c r="I80" s="99"/>
      <c r="J80" s="99"/>
      <c r="K80" s="99"/>
      <c r="L80" s="99"/>
      <c r="M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</row>
    <row r="81" spans="1:27" ht="15">
      <c r="A81" s="98"/>
      <c r="B81" s="98"/>
      <c r="C81" s="98"/>
      <c r="D81" s="98"/>
      <c r="E81" s="98"/>
      <c r="F81" s="98"/>
      <c r="G81" s="98"/>
      <c r="H81" s="99"/>
      <c r="I81" s="99"/>
      <c r="J81" s="99"/>
      <c r="K81" s="99"/>
      <c r="L81" s="99"/>
      <c r="M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</row>
    <row r="82" spans="1:27" ht="15">
      <c r="A82" s="98"/>
      <c r="B82" s="98"/>
      <c r="C82" s="98"/>
      <c r="D82" s="98"/>
      <c r="E82" s="98"/>
      <c r="F82" s="98"/>
      <c r="G82" s="98"/>
      <c r="H82" s="99"/>
      <c r="I82" s="99"/>
      <c r="J82" s="99"/>
      <c r="K82" s="99"/>
      <c r="L82" s="99"/>
      <c r="M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</row>
    <row r="83" spans="1:27" ht="15">
      <c r="A83" s="98"/>
      <c r="B83" s="98"/>
      <c r="C83" s="98"/>
      <c r="D83" s="98"/>
      <c r="E83" s="98"/>
      <c r="F83" s="98"/>
      <c r="G83" s="98"/>
      <c r="H83" s="99"/>
      <c r="I83" s="99"/>
      <c r="J83" s="99"/>
      <c r="K83" s="99"/>
      <c r="L83" s="99"/>
      <c r="M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</row>
    <row r="84" spans="1:27" ht="15">
      <c r="A84" s="98"/>
      <c r="B84" s="98"/>
      <c r="C84" s="98"/>
      <c r="D84" s="98"/>
      <c r="E84" s="98"/>
      <c r="F84" s="98"/>
      <c r="G84" s="98"/>
      <c r="H84" s="99"/>
      <c r="I84" s="99"/>
      <c r="J84" s="99"/>
      <c r="K84" s="99"/>
      <c r="L84" s="99"/>
      <c r="M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</row>
    <row r="85" spans="1:27" ht="15">
      <c r="A85" s="98"/>
      <c r="B85" s="98"/>
      <c r="C85" s="98"/>
      <c r="D85" s="98"/>
      <c r="E85" s="98"/>
      <c r="F85" s="98"/>
      <c r="G85" s="98"/>
      <c r="H85" s="99"/>
      <c r="I85" s="99"/>
      <c r="J85" s="99"/>
      <c r="K85" s="99"/>
      <c r="L85" s="99"/>
      <c r="M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</row>
    <row r="86" spans="1:27" ht="15">
      <c r="A86" s="98"/>
      <c r="B86" s="98"/>
      <c r="C86" s="98"/>
      <c r="D86" s="98"/>
      <c r="E86" s="98"/>
      <c r="F86" s="98"/>
      <c r="G86" s="98"/>
      <c r="H86" s="99"/>
      <c r="I86" s="99"/>
      <c r="J86" s="99"/>
      <c r="K86" s="99"/>
      <c r="L86" s="99"/>
      <c r="M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</row>
    <row r="87" spans="1:27" ht="15">
      <c r="A87" s="98"/>
      <c r="B87" s="98"/>
      <c r="C87" s="98"/>
      <c r="D87" s="98"/>
      <c r="E87" s="98"/>
      <c r="F87" s="98"/>
      <c r="G87" s="98"/>
      <c r="H87" s="99"/>
      <c r="I87" s="99"/>
      <c r="J87" s="99"/>
      <c r="K87" s="99"/>
      <c r="L87" s="99"/>
      <c r="M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</row>
    <row r="88" spans="1:27" ht="15">
      <c r="A88" s="98"/>
      <c r="B88" s="98"/>
      <c r="C88" s="98"/>
      <c r="D88" s="98"/>
      <c r="E88" s="98"/>
      <c r="F88" s="98"/>
      <c r="G88" s="98"/>
      <c r="H88" s="99"/>
      <c r="I88" s="99"/>
      <c r="J88" s="99"/>
      <c r="K88" s="99"/>
      <c r="L88" s="99"/>
      <c r="M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</row>
    <row r="89" spans="1:27" ht="15">
      <c r="A89" s="98"/>
      <c r="B89" s="98"/>
      <c r="C89" s="98"/>
      <c r="D89" s="98"/>
      <c r="E89" s="98"/>
      <c r="F89" s="98"/>
      <c r="G89" s="98"/>
      <c r="H89" s="99"/>
      <c r="I89" s="99"/>
      <c r="J89" s="99"/>
      <c r="K89" s="99"/>
      <c r="L89" s="99"/>
      <c r="M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</row>
    <row r="90" spans="1:27" ht="15">
      <c r="A90" s="98"/>
      <c r="B90" s="98"/>
      <c r="C90" s="98"/>
      <c r="D90" s="98"/>
      <c r="E90" s="98"/>
      <c r="F90" s="98"/>
      <c r="G90" s="98"/>
      <c r="H90" s="99"/>
      <c r="I90" s="99"/>
      <c r="J90" s="99"/>
      <c r="K90" s="99"/>
      <c r="L90" s="99"/>
      <c r="M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</row>
    <row r="91" spans="1:27">
      <c r="B91" s="98"/>
      <c r="C91" s="98"/>
      <c r="D91" s="98"/>
      <c r="F91" s="98"/>
      <c r="G91" s="98"/>
      <c r="H91" s="99"/>
      <c r="I91" s="99"/>
      <c r="J91" s="99"/>
      <c r="K91" s="99"/>
      <c r="L91" s="99"/>
      <c r="M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</row>
    <row r="92" spans="1:27">
      <c r="B92" s="98"/>
      <c r="C92" s="98"/>
      <c r="D92" s="98"/>
      <c r="F92" s="98"/>
      <c r="G92" s="98"/>
      <c r="H92" s="99"/>
      <c r="I92" s="99"/>
      <c r="J92" s="99"/>
      <c r="K92" s="99"/>
      <c r="L92" s="99"/>
      <c r="M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</row>
    <row r="93" spans="1:27">
      <c r="F93" s="98"/>
      <c r="G93" s="98"/>
      <c r="H93" s="99"/>
      <c r="I93" s="99"/>
      <c r="J93" s="99"/>
      <c r="K93" s="99"/>
      <c r="L93" s="99"/>
      <c r="M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</row>
    <row r="94" spans="1:27">
      <c r="G94" s="98"/>
      <c r="H94" s="99"/>
      <c r="I94" s="99"/>
      <c r="J94" s="99"/>
      <c r="K94" s="99"/>
      <c r="L94" s="99"/>
      <c r="M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</row>
    <row r="95" spans="1:27">
      <c r="G95" s="98"/>
      <c r="H95" s="99"/>
      <c r="I95" s="99"/>
      <c r="J95" s="99"/>
      <c r="K95" s="99"/>
      <c r="L95" s="99"/>
      <c r="M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</row>
    <row r="96" spans="1:27">
      <c r="G96" s="98"/>
      <c r="H96" s="99"/>
      <c r="I96" s="99"/>
      <c r="J96" s="99"/>
      <c r="K96" s="99"/>
      <c r="L96" s="99"/>
      <c r="M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</row>
  </sheetData>
  <mergeCells count="58">
    <mergeCell ref="B16:B17"/>
    <mergeCell ref="C29:D29"/>
    <mergeCell ref="C28:D28"/>
    <mergeCell ref="C26:D26"/>
    <mergeCell ref="C27:D27"/>
    <mergeCell ref="C25:D25"/>
    <mergeCell ref="C24:D24"/>
    <mergeCell ref="C23:D23"/>
    <mergeCell ref="F1:L3"/>
    <mergeCell ref="F4:G4"/>
    <mergeCell ref="C16:D17"/>
    <mergeCell ref="C18:D18"/>
    <mergeCell ref="C19:D19"/>
    <mergeCell ref="C10:D10"/>
    <mergeCell ref="C11:D11"/>
    <mergeCell ref="C9:F9"/>
    <mergeCell ref="C7:F7"/>
    <mergeCell ref="C8:D8"/>
    <mergeCell ref="C12:F12"/>
    <mergeCell ref="C13:F13"/>
    <mergeCell ref="C14:F14"/>
    <mergeCell ref="A40:C40"/>
    <mergeCell ref="I5:L5"/>
    <mergeCell ref="J6:L6"/>
    <mergeCell ref="J7:L7"/>
    <mergeCell ref="J8:L8"/>
    <mergeCell ref="J9:L9"/>
    <mergeCell ref="J10:L10"/>
    <mergeCell ref="C21:D21"/>
    <mergeCell ref="A12:B14"/>
    <mergeCell ref="G16:G17"/>
    <mergeCell ref="E16:F17"/>
    <mergeCell ref="A30:L30"/>
    <mergeCell ref="A10:B10"/>
    <mergeCell ref="A11:B11"/>
    <mergeCell ref="C22:D22"/>
    <mergeCell ref="C20:D20"/>
    <mergeCell ref="D32:F32"/>
    <mergeCell ref="D33:F33"/>
    <mergeCell ref="D34:F34"/>
    <mergeCell ref="D35:F35"/>
    <mergeCell ref="D36:F36"/>
    <mergeCell ref="J31:L31"/>
    <mergeCell ref="A31:F31"/>
    <mergeCell ref="D37:F37"/>
    <mergeCell ref="D38:F38"/>
    <mergeCell ref="D39:F39"/>
    <mergeCell ref="A32:C32"/>
    <mergeCell ref="A33:C33"/>
    <mergeCell ref="A34:C34"/>
    <mergeCell ref="A35:C35"/>
    <mergeCell ref="A36:C36"/>
    <mergeCell ref="A37:C37"/>
    <mergeCell ref="A38:C38"/>
    <mergeCell ref="A39:C39"/>
    <mergeCell ref="G32:I40"/>
    <mergeCell ref="D40:F40"/>
    <mergeCell ref="G31:I31"/>
  </mergeCells>
  <phoneticPr fontId="3" type="noConversion"/>
  <dataValidations count="12">
    <dataValidation type="list" allowBlank="1" showInputMessage="1" sqref="J18:J20 J22:J29">
      <formula1>$Z$3:$Z$13</formula1>
    </dataValidation>
    <dataValidation type="list" allowBlank="1" showInputMessage="1" sqref="G18:G20 G22:G29">
      <formula1>$W$3:$W$11</formula1>
    </dataValidation>
    <dataValidation type="list" allowBlank="1" showInputMessage="1" sqref="B18:B20 B22:B29">
      <formula1>$U$3:$U$8</formula1>
    </dataValidation>
    <dataValidation type="list" showInputMessage="1" sqref="E18:E20 E22:E29">
      <formula1>$Q$3:$Q$15</formula1>
    </dataValidation>
    <dataValidation type="list" allowBlank="1" showInputMessage="1" sqref="F18:F20 F22:F29">
      <formula1>$S$3:$S$9</formula1>
    </dataValidation>
    <dataValidation type="list" allowBlank="1" showInputMessage="1" showErrorMessage="1" sqref="D32">
      <formula1>$Q$17:$Q$19</formula1>
    </dataValidation>
    <dataValidation type="list" allowBlank="1" showInputMessage="1" showErrorMessage="1" sqref="D33">
      <formula1>$Q$21:$Q$23</formula1>
    </dataValidation>
    <dataValidation type="list" allowBlank="1" showInputMessage="1" showErrorMessage="1" sqref="D34">
      <formula1>$Q$25:$Q$28</formula1>
    </dataValidation>
    <dataValidation type="list" allowBlank="1" showInputMessage="1" showErrorMessage="1" sqref="D35 D37:D38">
      <formula1>$Q$31:$Q$32</formula1>
    </dataValidation>
    <dataValidation type="list" allowBlank="1" showInputMessage="1" showErrorMessage="1" sqref="D39">
      <formula1>$U$16:$U$20</formula1>
    </dataValidation>
    <dataValidation type="list" allowBlank="1" showInputMessage="1" showErrorMessage="1" sqref="D40">
      <formula1>$Q$34:$Q$35</formula1>
    </dataValidation>
    <dataValidation type="list" allowBlank="1" showInputMessage="1" showErrorMessage="1" sqref="D36:F36">
      <formula1>$U$22:$U$24</formula1>
    </dataValidation>
  </dataValidations>
  <hyperlinks>
    <hyperlink ref="C9" r:id="rId1"/>
  </hyperlinks>
  <printOptions horizontalCentered="1" verticalCentered="1"/>
  <pageMargins left="0.25" right="0.25" top="0.25" bottom="0.5" header="0.25" footer="0.25"/>
  <pageSetup scale="56" orientation="landscape" r:id="rId2"/>
  <headerFooter alignWithMargins="0">
    <oddFooter>&amp;RF083_KitRequest_20190102</oddFooter>
  </headerFooter>
  <drawing r:id="rId3"/>
  <legacyDrawing r:id="rId4"/>
  <oleObjects>
    <mc:AlternateContent xmlns:mc="http://schemas.openxmlformats.org/markup-compatibility/2006">
      <mc:Choice Requires="x14">
        <oleObject progId="PBrush" shapeId="13328" r:id="rId5">
          <objectPr defaultSize="0" autoPict="0" r:id="rId6">
            <anchor moveWithCells="1" sizeWithCells="1">
              <from>
                <xdr:col>0</xdr:col>
                <xdr:colOff>28575</xdr:colOff>
                <xdr:row>2</xdr:row>
                <xdr:rowOff>28575</xdr:rowOff>
              </from>
              <to>
                <xdr:col>2</xdr:col>
                <xdr:colOff>914400</xdr:colOff>
                <xdr:row>4</xdr:row>
                <xdr:rowOff>228600</xdr:rowOff>
              </to>
            </anchor>
          </objectPr>
        </oleObject>
      </mc:Choice>
      <mc:Fallback>
        <oleObject progId="PBrush" shapeId="13328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85" r:id="rId7" name="Button 73">
              <controlPr defaultSize="0" print="0" autoFill="0" autoPict="0" macro="[0]!SaveKit" altText="EXECUTE_x000a_(SGS use only)">
                <anchor moveWithCells="1">
                  <from>
                    <xdr:col>9</xdr:col>
                    <xdr:colOff>200025</xdr:colOff>
                    <xdr:row>37</xdr:row>
                    <xdr:rowOff>76200</xdr:rowOff>
                  </from>
                  <to>
                    <xdr:col>11</xdr:col>
                    <xdr:colOff>828675</xdr:colOff>
                    <xdr:row>39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33"/>
  <sheetViews>
    <sheetView showGridLines="0" view="pageLayout" zoomScale="85" zoomScaleNormal="75" zoomScalePageLayoutView="85" workbookViewId="0">
      <selection activeCell="L11" sqref="L11"/>
    </sheetView>
  </sheetViews>
  <sheetFormatPr defaultColWidth="10.7109375" defaultRowHeight="12.75"/>
  <sheetData>
    <row r="1" spans="1:12" ht="15" customHeight="1">
      <c r="E1" s="687" t="s">
        <v>667</v>
      </c>
      <c r="F1" s="687"/>
      <c r="G1" s="687"/>
      <c r="H1" s="687"/>
      <c r="J1" s="117"/>
      <c r="K1" s="118"/>
      <c r="L1" s="118"/>
    </row>
    <row r="2" spans="1:12" ht="15" customHeight="1">
      <c r="E2" s="687"/>
      <c r="F2" s="687"/>
      <c r="G2" s="687"/>
      <c r="H2" s="687"/>
      <c r="I2" s="117"/>
      <c r="J2" s="118"/>
      <c r="K2" s="118"/>
      <c r="L2" s="118"/>
    </row>
    <row r="3" spans="1:12" ht="15.75" customHeight="1">
      <c r="C3" s="117"/>
      <c r="D3" s="117"/>
      <c r="E3" s="687"/>
      <c r="F3" s="687"/>
      <c r="G3" s="687"/>
      <c r="H3" s="687"/>
      <c r="I3" s="117"/>
      <c r="J3" s="118"/>
      <c r="K3" s="118"/>
      <c r="L3" s="118"/>
    </row>
    <row r="4" spans="1:12" ht="15.75" customHeight="1" thickBot="1">
      <c r="C4" s="117"/>
      <c r="D4" s="117"/>
      <c r="E4" s="137"/>
      <c r="F4" s="137"/>
      <c r="G4" s="137"/>
      <c r="H4" s="137"/>
      <c r="I4" s="117"/>
      <c r="J4" s="118"/>
      <c r="K4" s="118"/>
      <c r="L4" s="118"/>
    </row>
    <row r="5" spans="1:12" ht="14.25" customHeight="1">
      <c r="B5" s="117"/>
      <c r="D5" s="688" t="s">
        <v>668</v>
      </c>
      <c r="E5" s="689"/>
      <c r="F5" s="138"/>
      <c r="G5" s="119"/>
      <c r="H5" s="120"/>
      <c r="I5" s="690" t="s">
        <v>669</v>
      </c>
      <c r="J5" s="690"/>
      <c r="K5" s="690"/>
    </row>
    <row r="6" spans="1:12" ht="14.25" customHeight="1">
      <c r="B6" s="117"/>
      <c r="D6" s="691" t="s">
        <v>670</v>
      </c>
      <c r="E6" s="692"/>
      <c r="F6" s="692"/>
      <c r="G6" s="693"/>
      <c r="H6" s="120"/>
      <c r="I6" s="690"/>
      <c r="J6" s="690"/>
      <c r="K6" s="690"/>
    </row>
    <row r="7" spans="1:12" ht="14.25" customHeight="1">
      <c r="B7" s="117"/>
      <c r="D7" s="691" t="s">
        <v>671</v>
      </c>
      <c r="E7" s="694"/>
      <c r="F7" s="694"/>
      <c r="G7" s="695"/>
      <c r="H7" s="120"/>
      <c r="I7" s="690"/>
      <c r="J7" s="690"/>
      <c r="K7" s="690"/>
    </row>
    <row r="8" spans="1:12" ht="14.25" customHeight="1">
      <c r="B8" s="117"/>
      <c r="D8" s="691" t="s">
        <v>672</v>
      </c>
      <c r="E8" s="694"/>
      <c r="F8" s="694"/>
      <c r="G8" s="695"/>
      <c r="H8" s="120"/>
      <c r="I8" s="690"/>
      <c r="J8" s="690"/>
      <c r="K8" s="690"/>
    </row>
    <row r="9" spans="1:12" ht="15.75" thickBot="1">
      <c r="B9" s="117"/>
      <c r="D9" s="696" t="s">
        <v>673</v>
      </c>
      <c r="E9" s="697"/>
      <c r="F9" s="697"/>
      <c r="G9" s="698"/>
      <c r="H9" s="121"/>
      <c r="I9" s="122"/>
      <c r="J9" s="122"/>
      <c r="K9" s="122"/>
    </row>
    <row r="10" spans="1:12" ht="15">
      <c r="B10" s="117"/>
      <c r="C10" s="699"/>
      <c r="D10" s="699"/>
      <c r="E10" s="699"/>
      <c r="F10" s="699"/>
      <c r="G10" s="121"/>
      <c r="H10" s="121"/>
      <c r="I10" s="121"/>
      <c r="J10" s="122"/>
      <c r="K10" s="122"/>
      <c r="L10" s="122"/>
    </row>
    <row r="11" spans="1:12" ht="19.5" thickBot="1">
      <c r="A11" s="100"/>
      <c r="B11" s="104" t="s">
        <v>434</v>
      </c>
      <c r="C11" s="700" t="str">
        <f>IF('2 - Kit Request'!C7:F7="","",'2 - Kit Request'!C7:F7)</f>
        <v>Kenai Watershed Forum</v>
      </c>
      <c r="D11" s="700"/>
      <c r="E11" s="700"/>
      <c r="F11" s="700"/>
      <c r="I11" s="102" t="s">
        <v>696</v>
      </c>
      <c r="J11" s="115"/>
      <c r="K11" s="104" t="s">
        <v>432</v>
      </c>
      <c r="L11" s="133"/>
    </row>
    <row r="12" spans="1:12" ht="19.5" thickBot="1">
      <c r="B12" s="104" t="s">
        <v>436</v>
      </c>
      <c r="C12" s="701"/>
      <c r="D12" s="701"/>
      <c r="E12" s="701"/>
      <c r="F12" s="701"/>
      <c r="I12" s="104" t="s">
        <v>441</v>
      </c>
      <c r="J12" s="140"/>
      <c r="K12" s="104" t="s">
        <v>442</v>
      </c>
      <c r="L12" s="142"/>
    </row>
    <row r="13" spans="1:12" ht="19.5" thickBot="1">
      <c r="A13" s="101"/>
      <c r="B13" s="104" t="s">
        <v>501</v>
      </c>
      <c r="C13" s="682" t="str">
        <f>IF('2 - Kit Request'!F8="","",'2 - Kit Request'!F8)</f>
        <v/>
      </c>
      <c r="D13" s="682"/>
      <c r="E13" s="682"/>
      <c r="F13" s="682"/>
      <c r="H13" s="117"/>
      <c r="I13" s="104" t="s">
        <v>443</v>
      </c>
      <c r="J13" s="139"/>
      <c r="K13" s="104" t="s">
        <v>442</v>
      </c>
      <c r="L13" s="141"/>
    </row>
    <row r="14" spans="1:12" ht="19.5" thickBot="1">
      <c r="A14" s="101"/>
      <c r="B14" s="104" t="s">
        <v>674</v>
      </c>
      <c r="C14" s="682" t="str">
        <f>'2 - Kit Request'!C12:F12&amp;", "&amp;'2 - Kit Request'!C13:F13</f>
        <v>, 44129 Sterling Hwy</v>
      </c>
      <c r="D14" s="682"/>
      <c r="E14" s="682"/>
      <c r="F14" s="682"/>
      <c r="H14" s="117"/>
      <c r="I14" s="104" t="s">
        <v>675</v>
      </c>
      <c r="J14" s="140"/>
      <c r="K14" s="104" t="s">
        <v>442</v>
      </c>
      <c r="L14" s="142"/>
    </row>
    <row r="15" spans="1:12" ht="19.5" thickBot="1">
      <c r="A15" s="101"/>
      <c r="B15" s="104" t="s">
        <v>676</v>
      </c>
      <c r="C15" s="682" t="str">
        <f>IF('2 - Kit Request'!C9:F9="","",'2 - Kit Request'!C9:F9)</f>
        <v>ben@kenaiwatershed.org</v>
      </c>
      <c r="D15" s="682"/>
      <c r="E15" s="682"/>
      <c r="F15" s="682"/>
      <c r="I15" s="143"/>
      <c r="J15" s="143"/>
      <c r="K15" s="136" t="s">
        <v>717</v>
      </c>
    </row>
    <row r="16" spans="1:12" ht="16.5" thickBot="1">
      <c r="A16" s="683" t="s">
        <v>439</v>
      </c>
      <c r="B16" s="683"/>
      <c r="C16" s="684" t="s">
        <v>677</v>
      </c>
      <c r="D16" s="684"/>
      <c r="E16" s="684"/>
      <c r="F16" s="684"/>
      <c r="I16" s="143"/>
      <c r="J16" s="143"/>
      <c r="K16" s="136" t="s">
        <v>718</v>
      </c>
    </row>
    <row r="17" spans="1:12" ht="18.75">
      <c r="A17" s="685" t="s">
        <v>685</v>
      </c>
      <c r="B17" s="685"/>
      <c r="C17" s="685"/>
      <c r="D17" s="685"/>
      <c r="E17" s="685"/>
      <c r="F17" s="685"/>
      <c r="H17" s="123"/>
      <c r="I17" s="103" t="s">
        <v>630</v>
      </c>
      <c r="J17" s="139"/>
      <c r="K17" s="103" t="s">
        <v>442</v>
      </c>
      <c r="L17" s="139"/>
    </row>
    <row r="18" spans="1:12" ht="28.5" customHeight="1">
      <c r="A18" s="135" t="s">
        <v>689</v>
      </c>
      <c r="B18" s="101"/>
      <c r="C18" s="134"/>
      <c r="D18" s="134"/>
      <c r="E18" s="134"/>
      <c r="F18" s="134"/>
    </row>
    <row r="19" spans="1:12" ht="18.75">
      <c r="A19" s="100"/>
      <c r="B19" s="686" t="s">
        <v>686</v>
      </c>
      <c r="C19" s="686"/>
      <c r="D19" s="686"/>
      <c r="E19" s="686"/>
      <c r="F19" s="686"/>
      <c r="H19" s="659" t="s">
        <v>438</v>
      </c>
      <c r="I19" s="660"/>
      <c r="J19" s="660"/>
      <c r="K19" s="660"/>
      <c r="L19" s="661"/>
    </row>
    <row r="20" spans="1:12" ht="16.5" thickBot="1">
      <c r="A20" s="672"/>
      <c r="B20" s="672"/>
      <c r="C20" s="672"/>
      <c r="D20" s="672"/>
      <c r="E20" s="672"/>
      <c r="F20" s="672"/>
      <c r="H20" s="662"/>
      <c r="I20" s="663"/>
      <c r="J20" s="663"/>
      <c r="K20" s="663"/>
      <c r="L20" s="664"/>
    </row>
    <row r="21" spans="1:12" ht="16.5" thickBot="1">
      <c r="A21" s="673" t="s">
        <v>678</v>
      </c>
      <c r="B21" s="674"/>
      <c r="C21" s="675"/>
      <c r="D21" s="124"/>
      <c r="E21" s="125"/>
      <c r="F21" s="125"/>
      <c r="H21" s="662"/>
      <c r="I21" s="663"/>
      <c r="J21" s="663"/>
      <c r="K21" s="663"/>
      <c r="L21" s="664"/>
    </row>
    <row r="22" spans="1:12" ht="30">
      <c r="A22" s="676" t="s">
        <v>679</v>
      </c>
      <c r="B22" s="677"/>
      <c r="C22" s="126" t="s">
        <v>680</v>
      </c>
      <c r="D22" s="125"/>
      <c r="E22" s="125"/>
      <c r="F22" s="127"/>
      <c r="H22" s="662"/>
      <c r="I22" s="663"/>
      <c r="J22" s="663"/>
      <c r="K22" s="663"/>
      <c r="L22" s="664"/>
    </row>
    <row r="23" spans="1:12" ht="30" customHeight="1">
      <c r="A23" s="678" t="s">
        <v>681</v>
      </c>
      <c r="B23" s="679"/>
      <c r="C23" s="128"/>
      <c r="D23" s="125"/>
      <c r="E23" s="125"/>
      <c r="F23" s="127"/>
      <c r="H23" s="662"/>
      <c r="I23" s="663"/>
      <c r="J23" s="663"/>
      <c r="K23" s="663"/>
      <c r="L23" s="664"/>
    </row>
    <row r="24" spans="1:12" ht="15.75">
      <c r="A24" s="680" t="s">
        <v>687</v>
      </c>
      <c r="B24" s="681"/>
      <c r="C24" s="128"/>
      <c r="D24" s="125"/>
      <c r="E24" s="125"/>
      <c r="F24" s="127"/>
      <c r="H24" s="662"/>
      <c r="I24" s="663"/>
      <c r="J24" s="663"/>
      <c r="K24" s="663"/>
      <c r="L24" s="664"/>
    </row>
    <row r="25" spans="1:12" ht="29.25" customHeight="1">
      <c r="A25" s="678" t="s">
        <v>688</v>
      </c>
      <c r="B25" s="679"/>
      <c r="C25" s="128"/>
      <c r="D25" s="124"/>
      <c r="E25" s="125"/>
      <c r="F25" s="127"/>
      <c r="H25" s="662"/>
      <c r="I25" s="663"/>
      <c r="J25" s="663"/>
      <c r="K25" s="663"/>
      <c r="L25" s="664"/>
    </row>
    <row r="26" spans="1:12" ht="15.75">
      <c r="A26" s="668" t="s">
        <v>682</v>
      </c>
      <c r="B26" s="669"/>
      <c r="C26" s="128"/>
      <c r="D26" s="124"/>
      <c r="E26" s="125"/>
      <c r="F26" s="127"/>
      <c r="H26" s="662"/>
      <c r="I26" s="663"/>
      <c r="J26" s="663"/>
      <c r="K26" s="663"/>
      <c r="L26" s="664"/>
    </row>
    <row r="27" spans="1:12" ht="15.75">
      <c r="A27" s="668"/>
      <c r="B27" s="669"/>
      <c r="C27" s="128"/>
      <c r="D27" s="124"/>
      <c r="E27" s="125"/>
      <c r="F27" s="127"/>
      <c r="H27" s="662"/>
      <c r="I27" s="663"/>
      <c r="J27" s="663"/>
      <c r="K27" s="663"/>
      <c r="L27" s="664"/>
    </row>
    <row r="28" spans="1:12" ht="15.75">
      <c r="A28" s="668"/>
      <c r="B28" s="669"/>
      <c r="C28" s="128"/>
      <c r="D28" s="124"/>
      <c r="E28" s="125"/>
      <c r="F28" s="127"/>
      <c r="H28" s="662"/>
      <c r="I28" s="663"/>
      <c r="J28" s="663"/>
      <c r="K28" s="663"/>
      <c r="L28" s="664"/>
    </row>
    <row r="29" spans="1:12" ht="16.5" thickBot="1">
      <c r="A29" s="670"/>
      <c r="B29" s="671"/>
      <c r="C29" s="129"/>
      <c r="D29" s="124"/>
      <c r="E29" s="125"/>
      <c r="F29" s="127"/>
      <c r="H29" s="665"/>
      <c r="I29" s="666"/>
      <c r="J29" s="666"/>
      <c r="K29" s="666"/>
      <c r="L29" s="667"/>
    </row>
    <row r="30" spans="1:12" ht="15.75">
      <c r="A30" s="130"/>
      <c r="B30" s="130"/>
      <c r="C30" s="130"/>
      <c r="D30" s="130"/>
      <c r="E30" s="125"/>
      <c r="F30" s="127"/>
      <c r="H30" s="144"/>
      <c r="I30" s="144"/>
      <c r="J30" s="144"/>
      <c r="K30" s="144"/>
      <c r="L30" s="144"/>
    </row>
    <row r="31" spans="1:12" ht="15.75">
      <c r="A31" s="131" t="s">
        <v>683</v>
      </c>
      <c r="B31" s="127"/>
      <c r="C31" s="127"/>
      <c r="D31" s="127"/>
      <c r="E31" s="127"/>
      <c r="F31" s="127"/>
      <c r="H31" s="144"/>
      <c r="I31" s="144"/>
      <c r="J31" s="144"/>
      <c r="K31" s="144"/>
      <c r="L31" s="144"/>
    </row>
    <row r="32" spans="1:12" ht="15.75">
      <c r="A32" s="131" t="s">
        <v>742</v>
      </c>
      <c r="B32" s="127"/>
      <c r="C32" s="127"/>
      <c r="D32" s="127"/>
      <c r="E32" s="127"/>
      <c r="F32" s="127"/>
      <c r="H32" s="144"/>
      <c r="I32" s="144"/>
      <c r="J32" s="144"/>
      <c r="K32" s="144"/>
      <c r="L32" s="144"/>
    </row>
    <row r="33" spans="1:6" ht="15.75">
      <c r="A33" s="131" t="s">
        <v>684</v>
      </c>
      <c r="B33" s="127"/>
      <c r="C33" s="132"/>
      <c r="D33" s="132"/>
      <c r="E33" s="127"/>
      <c r="F33" s="127"/>
    </row>
  </sheetData>
  <mergeCells count="28">
    <mergeCell ref="C14:F14"/>
    <mergeCell ref="E1:H3"/>
    <mergeCell ref="D5:E5"/>
    <mergeCell ref="I5:K8"/>
    <mergeCell ref="D6:G6"/>
    <mergeCell ref="D7:G7"/>
    <mergeCell ref="D8:G8"/>
    <mergeCell ref="D9:G9"/>
    <mergeCell ref="C10:F10"/>
    <mergeCell ref="C11:F11"/>
    <mergeCell ref="C12:F12"/>
    <mergeCell ref="C13:F13"/>
    <mergeCell ref="C15:F15"/>
    <mergeCell ref="A16:B16"/>
    <mergeCell ref="C16:F16"/>
    <mergeCell ref="A17:F17"/>
    <mergeCell ref="B19:F19"/>
    <mergeCell ref="H19:L29"/>
    <mergeCell ref="A27:B27"/>
    <mergeCell ref="A28:B28"/>
    <mergeCell ref="A29:B29"/>
    <mergeCell ref="A20:F20"/>
    <mergeCell ref="A21:C21"/>
    <mergeCell ref="A22:B22"/>
    <mergeCell ref="A23:B23"/>
    <mergeCell ref="A24:B24"/>
    <mergeCell ref="A25:B25"/>
    <mergeCell ref="A26:B26"/>
  </mergeCells>
  <printOptions horizontalCentered="1" verticalCentered="1"/>
  <pageMargins left="0.5" right="0.5" top="0.5" bottom="0.5" header="0.3" footer="0.3"/>
  <pageSetup scale="85" orientation="landscape" r:id="rId1"/>
  <headerFooter>
    <oddFooter>&amp;RF083_Prepaid_Kit_Request_COC_20180618</oddFooter>
  </headerFooter>
  <drawing r:id="rId2"/>
  <legacyDrawing r:id="rId3"/>
  <oleObjects>
    <mc:AlternateContent xmlns:mc="http://schemas.openxmlformats.org/markup-compatibility/2006">
      <mc:Choice Requires="x14">
        <oleObject progId="PBrush" shapeId="15361" r:id="rId4">
          <objectPr defaultSize="0" autoPict="0" r:id="rId5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266700</xdr:colOff>
                <xdr:row>3</xdr:row>
                <xdr:rowOff>38100</xdr:rowOff>
              </to>
            </anchor>
          </objectPr>
        </oleObject>
      </mc:Choice>
      <mc:Fallback>
        <oleObject progId="PBrush" shapeId="1536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6" name="Check Box 2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7" name="Check Box 3">
              <controlPr defaultSize="0" autoFill="0" autoLine="0" autoPict="0">
                <anchor moveWithCells="1">
                  <from>
                    <xdr:col>11</xdr:col>
                    <xdr:colOff>38100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8" name="Check Box 4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9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31</xdr:row>
                    <xdr:rowOff>28575</xdr:rowOff>
                  </from>
                  <to>
                    <xdr:col>0</xdr:col>
                    <xdr:colOff>333375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AP58"/>
  <sheetViews>
    <sheetView showGridLines="0" showZeros="0" tabSelected="1" zoomScale="85" zoomScaleNormal="85" workbookViewId="0">
      <selection activeCell="AI7" sqref="AI7:AL8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776"/>
      <c r="AG1" s="776"/>
      <c r="AH1" s="776"/>
      <c r="AI1" s="776"/>
      <c r="AJ1" s="777"/>
      <c r="AK1" s="34"/>
    </row>
    <row r="2" spans="2:42" s="8" customFormat="1" ht="15" customHeight="1">
      <c r="K2" s="11"/>
      <c r="L2" s="11"/>
      <c r="M2" s="11"/>
      <c r="N2" s="11"/>
      <c r="O2" s="11"/>
      <c r="P2" s="800" t="s">
        <v>30</v>
      </c>
      <c r="Q2" s="800"/>
      <c r="R2" s="800"/>
      <c r="S2" s="800"/>
      <c r="T2" s="800"/>
      <c r="U2" s="800"/>
      <c r="V2" s="800"/>
      <c r="W2" s="800"/>
      <c r="X2" s="800"/>
      <c r="Y2" s="800"/>
      <c r="Z2" s="800"/>
      <c r="AA2" s="800"/>
      <c r="AB2" s="11"/>
      <c r="AC2" s="11"/>
      <c r="AD2" s="11"/>
      <c r="AE2" s="11"/>
      <c r="AF2" s="10"/>
      <c r="AG2" s="10"/>
      <c r="AH2" s="10"/>
      <c r="AJ2" s="10"/>
      <c r="AL2" s="10"/>
    </row>
    <row r="3" spans="2:42" s="8" customFormat="1" ht="15" customHeight="1">
      <c r="K3" s="11"/>
      <c r="L3" s="11"/>
      <c r="M3" s="11"/>
      <c r="O3" s="11"/>
      <c r="P3" s="800" t="s">
        <v>14</v>
      </c>
      <c r="Q3" s="800"/>
      <c r="R3" s="800"/>
      <c r="S3" s="800"/>
      <c r="T3" s="800"/>
      <c r="U3" s="800"/>
      <c r="V3" s="800"/>
      <c r="W3" s="800"/>
      <c r="X3" s="800"/>
      <c r="Y3" s="800"/>
      <c r="Z3" s="800"/>
      <c r="AA3" s="800"/>
      <c r="AB3" s="11"/>
      <c r="AC3" s="11"/>
      <c r="AD3" s="11"/>
      <c r="AE3" s="11"/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</row>
    <row r="5" spans="2:42" s="8" customFormat="1" ht="15" customHeight="1">
      <c r="I5" s="13"/>
      <c r="J5" s="13"/>
      <c r="K5" s="13"/>
      <c r="L5" s="13"/>
      <c r="M5" s="13"/>
      <c r="N5" s="13"/>
      <c r="O5" s="13"/>
      <c r="P5" s="34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I5" s="14"/>
      <c r="AJ5" s="10"/>
      <c r="AK5" s="10"/>
      <c r="AL5" s="10"/>
    </row>
    <row r="6" spans="2:42" s="8" customFormat="1" ht="18" customHeight="1" thickBot="1">
      <c r="C6" s="28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778" t="s">
        <v>24</v>
      </c>
      <c r="AG6" s="778"/>
      <c r="AH6" s="778"/>
      <c r="AI6" s="779"/>
      <c r="AJ6" s="779"/>
      <c r="AK6" s="779"/>
      <c r="AL6" s="15"/>
    </row>
    <row r="7" spans="2:42" s="2" customFormat="1" ht="34.9" customHeight="1" thickTop="1" thickBot="1">
      <c r="B7" s="707" t="s">
        <v>535</v>
      </c>
      <c r="C7" s="594" t="s">
        <v>0</v>
      </c>
      <c r="D7" s="595"/>
      <c r="E7" s="595"/>
      <c r="F7" s="711" t="str">
        <f>'2 - Kit Request'!C7</f>
        <v>Kenai Watershed Forum</v>
      </c>
      <c r="G7" s="711"/>
      <c r="H7" s="711"/>
      <c r="I7" s="711"/>
      <c r="J7" s="711"/>
      <c r="K7" s="711"/>
      <c r="L7" s="711"/>
      <c r="M7" s="711"/>
      <c r="N7" s="711"/>
      <c r="O7" s="711"/>
      <c r="P7" s="711"/>
      <c r="Q7" s="711"/>
      <c r="R7" s="711"/>
      <c r="S7" s="711"/>
      <c r="T7" s="711"/>
      <c r="U7" s="712"/>
      <c r="V7" s="708" t="s">
        <v>541</v>
      </c>
      <c r="W7" s="709"/>
      <c r="X7" s="709"/>
      <c r="Y7" s="709"/>
      <c r="Z7" s="709"/>
      <c r="AA7" s="709"/>
      <c r="AB7" s="709"/>
      <c r="AC7" s="709"/>
      <c r="AD7" s="709"/>
      <c r="AE7" s="709"/>
      <c r="AF7" s="709"/>
      <c r="AG7" s="709"/>
      <c r="AH7" s="710"/>
      <c r="AI7" s="780" t="s">
        <v>1207</v>
      </c>
      <c r="AJ7" s="781"/>
      <c r="AK7" s="781"/>
      <c r="AL7" s="782"/>
    </row>
    <row r="8" spans="2:42" s="2" customFormat="1" ht="40.15" customHeight="1" thickBot="1">
      <c r="B8" s="705"/>
      <c r="C8" s="596" t="s">
        <v>1</v>
      </c>
      <c r="D8" s="597"/>
      <c r="E8" s="597"/>
      <c r="F8" s="843" t="s">
        <v>1182</v>
      </c>
      <c r="G8" s="843"/>
      <c r="H8" s="843"/>
      <c r="I8" s="843"/>
      <c r="J8" s="843"/>
      <c r="K8" s="843"/>
      <c r="L8" s="598" t="s">
        <v>706</v>
      </c>
      <c r="M8" s="599"/>
      <c r="N8" s="599"/>
      <c r="O8" s="843" t="s">
        <v>1202</v>
      </c>
      <c r="P8" s="843"/>
      <c r="Q8" s="843"/>
      <c r="R8" s="843"/>
      <c r="S8" s="843"/>
      <c r="T8" s="843"/>
      <c r="U8" s="844"/>
      <c r="V8" s="713" t="s">
        <v>537</v>
      </c>
      <c r="W8" s="714"/>
      <c r="X8" s="715"/>
      <c r="Y8" s="152"/>
      <c r="Z8" s="785" t="s">
        <v>85</v>
      </c>
      <c r="AA8" s="785"/>
      <c r="AB8" s="785"/>
      <c r="AC8" s="785"/>
      <c r="AD8" s="785"/>
      <c r="AE8" s="785"/>
      <c r="AF8" s="785"/>
      <c r="AG8" s="785"/>
      <c r="AH8" s="785"/>
      <c r="AI8" s="783"/>
      <c r="AJ8" s="783"/>
      <c r="AK8" s="783"/>
      <c r="AL8" s="784"/>
    </row>
    <row r="9" spans="2:42" s="2" customFormat="1" ht="40.15" customHeight="1" thickBot="1">
      <c r="B9" s="705"/>
      <c r="C9" s="816" t="s">
        <v>37</v>
      </c>
      <c r="D9" s="817"/>
      <c r="E9" s="817"/>
      <c r="F9" s="843" t="str">
        <f>'2 - Kit Request'!C10</f>
        <v>Kenai River Baseline Water Quality Monitoring</v>
      </c>
      <c r="G9" s="843"/>
      <c r="H9" s="843"/>
      <c r="I9" s="843"/>
      <c r="J9" s="843"/>
      <c r="K9" s="843"/>
      <c r="L9" s="818" t="s">
        <v>38</v>
      </c>
      <c r="M9" s="819"/>
      <c r="N9" s="819"/>
      <c r="O9" s="847">
        <f>'2 - Kit Request'!F10</f>
        <v>0</v>
      </c>
      <c r="P9" s="847"/>
      <c r="Q9" s="847"/>
      <c r="R9" s="847"/>
      <c r="S9" s="847"/>
      <c r="T9" s="847"/>
      <c r="U9" s="848"/>
      <c r="V9" s="851" t="s">
        <v>58</v>
      </c>
      <c r="W9" s="829"/>
      <c r="X9" s="830"/>
      <c r="Y9" s="154" t="str">
        <f>'2 - Kit Request'!G18</f>
        <v>H2SO4</v>
      </c>
      <c r="Z9" s="155" t="str">
        <f>'2 - Kit Request'!G19</f>
        <v>HNO3</v>
      </c>
      <c r="AA9" s="155" t="str">
        <f>'2 - Kit Request'!G20</f>
        <v>NONE</v>
      </c>
      <c r="AB9" s="155">
        <f>'2 - Kit Request'!G21</f>
        <v>0</v>
      </c>
      <c r="AC9" s="155">
        <f>'2 - Kit Request'!G22</f>
        <v>0</v>
      </c>
      <c r="AD9" s="155">
        <f>'2 - Kit Request'!G23</f>
        <v>0</v>
      </c>
      <c r="AE9" s="155">
        <f>'2 - Kit Request'!G24</f>
        <v>0</v>
      </c>
      <c r="AF9" s="155">
        <f>'2 - Kit Request'!G25</f>
        <v>0</v>
      </c>
      <c r="AG9" s="155">
        <f>'2 - Kit Request'!G26</f>
        <v>0</v>
      </c>
      <c r="AH9" s="156">
        <f>'2 - Kit Request'!G27</f>
        <v>0</v>
      </c>
      <c r="AI9" s="116"/>
      <c r="AJ9" s="37"/>
      <c r="AK9" s="37"/>
      <c r="AL9" s="38"/>
    </row>
    <row r="10" spans="2:42" s="2" customFormat="1" ht="18" customHeight="1">
      <c r="B10" s="705"/>
      <c r="C10" s="600" t="s">
        <v>2</v>
      </c>
      <c r="D10" s="600"/>
      <c r="E10" s="600"/>
      <c r="F10" s="601"/>
      <c r="G10" s="831"/>
      <c r="H10" s="831"/>
      <c r="I10" s="831"/>
      <c r="J10" s="831"/>
      <c r="K10" s="831"/>
      <c r="L10" s="822" t="s">
        <v>28</v>
      </c>
      <c r="M10" s="822"/>
      <c r="N10" s="822"/>
      <c r="O10" s="602" t="str">
        <f>'2 - Kit Request'!C9</f>
        <v>ben@kenaiwatershed.org</v>
      </c>
      <c r="P10" s="602"/>
      <c r="Q10" s="602"/>
      <c r="R10" s="602"/>
      <c r="S10" s="602"/>
      <c r="T10" s="602"/>
      <c r="U10" s="603"/>
      <c r="V10" s="852"/>
      <c r="W10" s="812" t="s">
        <v>708</v>
      </c>
      <c r="X10" s="693"/>
      <c r="Y10" s="810" t="s">
        <v>918</v>
      </c>
      <c r="Z10" s="811"/>
      <c r="AA10" s="811"/>
      <c r="AB10" s="811"/>
      <c r="AC10" s="811"/>
      <c r="AD10" s="811"/>
      <c r="AE10" s="811"/>
      <c r="AF10" s="811"/>
      <c r="AG10" s="811"/>
      <c r="AH10" s="811"/>
      <c r="AI10" s="801" t="s">
        <v>919</v>
      </c>
      <c r="AJ10" s="802"/>
      <c r="AK10" s="802"/>
      <c r="AL10" s="803"/>
      <c r="AP10" s="29"/>
    </row>
    <row r="11" spans="2:42" s="2" customFormat="1" ht="18" customHeight="1">
      <c r="B11" s="705"/>
      <c r="C11" s="849" t="s">
        <v>1182</v>
      </c>
      <c r="D11" s="850"/>
      <c r="E11" s="850"/>
      <c r="F11" s="850"/>
      <c r="G11" s="850"/>
      <c r="H11" s="850"/>
      <c r="I11" s="850"/>
      <c r="J11" s="850"/>
      <c r="K11" s="850"/>
      <c r="L11" s="786" t="s">
        <v>751</v>
      </c>
      <c r="M11" s="786"/>
      <c r="N11" s="786"/>
      <c r="O11" s="786">
        <f>'2 - Kit Request'!F10</f>
        <v>0</v>
      </c>
      <c r="P11" s="786"/>
      <c r="Q11" s="786"/>
      <c r="R11" s="786"/>
      <c r="S11" s="786"/>
      <c r="T11" s="786"/>
      <c r="U11" s="787"/>
      <c r="V11" s="852"/>
      <c r="W11" s="812" t="s">
        <v>709</v>
      </c>
      <c r="X11" s="693"/>
      <c r="Y11" s="813" t="str">
        <f>'2 - Kit Request'!C18</f>
        <v>Total NO3/NO2(SM21 4500NO3-F), Total P(SM4500)</v>
      </c>
      <c r="Z11" s="788" t="str">
        <f>'2 - Kit Request'!C19</f>
        <v>Total Metals (200.7)</v>
      </c>
      <c r="AA11" s="791" t="str">
        <f>'2 - Kit Request'!C20</f>
        <v>Dissolved Metals (200.8)</v>
      </c>
      <c r="AB11" s="788">
        <f>'2 - Kit Request'!C21</f>
        <v>0</v>
      </c>
      <c r="AC11" s="791">
        <f>'2 - Kit Request'!C22</f>
        <v>0</v>
      </c>
      <c r="AD11" s="788">
        <f>'2 - Kit Request'!C23</f>
        <v>0</v>
      </c>
      <c r="AE11" s="791" t="str">
        <f>'2 - Kit Request'!C24</f>
        <v xml:space="preserve"> </v>
      </c>
      <c r="AF11" s="788">
        <f>'2 - Kit Request'!C25</f>
        <v>0</v>
      </c>
      <c r="AG11" s="791">
        <f>'2 - Kit Request'!C26</f>
        <v>0</v>
      </c>
      <c r="AH11" s="788">
        <f>'2 - Kit Request'!C27</f>
        <v>0</v>
      </c>
      <c r="AI11" s="804"/>
      <c r="AJ11" s="805"/>
      <c r="AK11" s="805"/>
      <c r="AL11" s="806"/>
      <c r="AP11" s="29"/>
    </row>
    <row r="12" spans="2:42" s="2" customFormat="1" ht="18" customHeight="1">
      <c r="B12" s="705"/>
      <c r="C12" s="600" t="s">
        <v>3</v>
      </c>
      <c r="D12" s="600"/>
      <c r="E12" s="600"/>
      <c r="F12" s="601"/>
      <c r="G12" s="854"/>
      <c r="H12" s="854"/>
      <c r="I12" s="854"/>
      <c r="J12" s="854"/>
      <c r="K12" s="854"/>
      <c r="L12" s="604" t="s">
        <v>4</v>
      </c>
      <c r="M12" s="600"/>
      <c r="N12" s="600"/>
      <c r="O12" s="820">
        <f>'2 - Kit Request'!C11</f>
        <v>0</v>
      </c>
      <c r="P12" s="820"/>
      <c r="Q12" s="820"/>
      <c r="R12" s="820"/>
      <c r="S12" s="820"/>
      <c r="T12" s="820"/>
      <c r="U12" s="821"/>
      <c r="V12" s="852"/>
      <c r="W12" s="812" t="s">
        <v>707</v>
      </c>
      <c r="X12" s="838"/>
      <c r="Y12" s="814"/>
      <c r="Z12" s="789"/>
      <c r="AA12" s="792"/>
      <c r="AB12" s="789"/>
      <c r="AC12" s="792"/>
      <c r="AD12" s="789"/>
      <c r="AE12" s="792"/>
      <c r="AF12" s="789"/>
      <c r="AG12" s="792"/>
      <c r="AH12" s="789"/>
      <c r="AI12" s="804"/>
      <c r="AJ12" s="805"/>
      <c r="AK12" s="805"/>
      <c r="AL12" s="806"/>
      <c r="AP12" s="29"/>
    </row>
    <row r="13" spans="2:42" s="2" customFormat="1" ht="18" customHeight="1" thickBot="1">
      <c r="B13" s="706"/>
      <c r="C13" s="823" t="str">
        <f>'2 - Kit Request'!C7</f>
        <v>Kenai Watershed Forum</v>
      </c>
      <c r="D13" s="824"/>
      <c r="E13" s="824"/>
      <c r="F13" s="824"/>
      <c r="G13" s="824"/>
      <c r="H13" s="824"/>
      <c r="I13" s="824"/>
      <c r="J13" s="824"/>
      <c r="K13" s="824"/>
      <c r="L13" s="605" t="s">
        <v>29</v>
      </c>
      <c r="M13" s="606"/>
      <c r="N13" s="845">
        <f>'2 - Kit Request'!F11</f>
        <v>0</v>
      </c>
      <c r="O13" s="845"/>
      <c r="P13" s="845"/>
      <c r="Q13" s="845"/>
      <c r="R13" s="845"/>
      <c r="S13" s="845"/>
      <c r="T13" s="845"/>
      <c r="U13" s="846"/>
      <c r="V13" s="852"/>
      <c r="W13" s="825" t="s">
        <v>710</v>
      </c>
      <c r="X13" s="826"/>
      <c r="Y13" s="814"/>
      <c r="Z13" s="789"/>
      <c r="AA13" s="792"/>
      <c r="AB13" s="789"/>
      <c r="AC13" s="792"/>
      <c r="AD13" s="789"/>
      <c r="AE13" s="792"/>
      <c r="AF13" s="789"/>
      <c r="AG13" s="792"/>
      <c r="AH13" s="789"/>
      <c r="AI13" s="804"/>
      <c r="AJ13" s="805"/>
      <c r="AK13" s="805"/>
      <c r="AL13" s="806"/>
      <c r="AP13" s="29"/>
    </row>
    <row r="14" spans="2:42" s="2" customFormat="1" ht="18" customHeight="1" thickBot="1">
      <c r="B14" s="707" t="s">
        <v>536</v>
      </c>
      <c r="C14" s="859" t="s">
        <v>34</v>
      </c>
      <c r="D14" s="860"/>
      <c r="E14" s="861"/>
      <c r="F14" s="834" t="s">
        <v>5</v>
      </c>
      <c r="G14" s="834"/>
      <c r="H14" s="834"/>
      <c r="I14" s="834"/>
      <c r="J14" s="834"/>
      <c r="K14" s="834"/>
      <c r="L14" s="835"/>
      <c r="M14" s="794" t="s">
        <v>56</v>
      </c>
      <c r="N14" s="795"/>
      <c r="O14" s="796"/>
      <c r="P14" s="794" t="s">
        <v>57</v>
      </c>
      <c r="Q14" s="795"/>
      <c r="R14" s="796"/>
      <c r="S14" s="795" t="s">
        <v>27</v>
      </c>
      <c r="T14" s="795"/>
      <c r="U14" s="796"/>
      <c r="V14" s="852"/>
      <c r="W14" s="825"/>
      <c r="X14" s="826"/>
      <c r="Y14" s="814"/>
      <c r="Z14" s="789"/>
      <c r="AA14" s="792"/>
      <c r="AB14" s="789"/>
      <c r="AC14" s="792"/>
      <c r="AD14" s="789"/>
      <c r="AE14" s="792"/>
      <c r="AF14" s="789"/>
      <c r="AG14" s="792"/>
      <c r="AH14" s="789"/>
      <c r="AI14" s="807"/>
      <c r="AJ14" s="808"/>
      <c r="AK14" s="808"/>
      <c r="AL14" s="809"/>
      <c r="AP14" s="29"/>
    </row>
    <row r="15" spans="2:42" s="6" customFormat="1" ht="15.75" customHeight="1" thickBot="1">
      <c r="B15" s="705"/>
      <c r="C15" s="862"/>
      <c r="D15" s="863"/>
      <c r="E15" s="864"/>
      <c r="F15" s="836"/>
      <c r="G15" s="836"/>
      <c r="H15" s="836"/>
      <c r="I15" s="836"/>
      <c r="J15" s="836"/>
      <c r="K15" s="836"/>
      <c r="L15" s="837"/>
      <c r="M15" s="797"/>
      <c r="N15" s="798"/>
      <c r="O15" s="799"/>
      <c r="P15" s="797"/>
      <c r="Q15" s="798"/>
      <c r="R15" s="799"/>
      <c r="S15" s="798"/>
      <c r="T15" s="798"/>
      <c r="U15" s="799"/>
      <c r="V15" s="853"/>
      <c r="W15" s="827"/>
      <c r="X15" s="828"/>
      <c r="Y15" s="815"/>
      <c r="Z15" s="790"/>
      <c r="AA15" s="793"/>
      <c r="AB15" s="790"/>
      <c r="AC15" s="793"/>
      <c r="AD15" s="790"/>
      <c r="AE15" s="793"/>
      <c r="AF15" s="790"/>
      <c r="AG15" s="793"/>
      <c r="AH15" s="790"/>
      <c r="AI15" s="763" t="s">
        <v>745</v>
      </c>
      <c r="AJ15" s="764"/>
      <c r="AK15" s="764"/>
      <c r="AL15" s="765"/>
    </row>
    <row r="16" spans="2:42" s="17" customFormat="1" ht="19.899999999999999" customHeight="1">
      <c r="B16" s="705"/>
      <c r="C16" s="832"/>
      <c r="D16" s="833"/>
      <c r="E16" s="833"/>
      <c r="F16" s="775" t="s">
        <v>1191</v>
      </c>
      <c r="G16" s="775"/>
      <c r="H16" s="775"/>
      <c r="I16" s="775"/>
      <c r="J16" s="775"/>
      <c r="K16" s="775"/>
      <c r="L16" s="775"/>
      <c r="M16" s="774">
        <v>44684</v>
      </c>
      <c r="N16" s="769"/>
      <c r="O16" s="769"/>
      <c r="P16" s="769"/>
      <c r="Q16" s="769"/>
      <c r="R16" s="769"/>
      <c r="S16" s="768" t="s">
        <v>89</v>
      </c>
      <c r="T16" s="768"/>
      <c r="U16" s="768"/>
      <c r="V16" s="576">
        <v>3</v>
      </c>
      <c r="W16" s="855"/>
      <c r="X16" s="856"/>
      <c r="Y16" s="575" t="s">
        <v>1200</v>
      </c>
      <c r="Z16" s="574" t="s">
        <v>1200</v>
      </c>
      <c r="AA16" s="574" t="s">
        <v>1200</v>
      </c>
      <c r="AB16" s="145"/>
      <c r="AC16" s="145"/>
      <c r="AD16" s="145"/>
      <c r="AE16" s="145"/>
      <c r="AF16" s="145"/>
      <c r="AG16" s="145"/>
      <c r="AH16" s="146"/>
      <c r="AI16" s="766"/>
      <c r="AJ16" s="766"/>
      <c r="AK16" s="766"/>
      <c r="AL16" s="767"/>
    </row>
    <row r="17" spans="2:38" s="17" customFormat="1" ht="19.899999999999999" customHeight="1">
      <c r="B17" s="705"/>
      <c r="C17" s="832"/>
      <c r="D17" s="833"/>
      <c r="E17" s="833"/>
      <c r="F17" s="775" t="s">
        <v>1199</v>
      </c>
      <c r="G17" s="775"/>
      <c r="H17" s="775"/>
      <c r="I17" s="775"/>
      <c r="J17" s="775"/>
      <c r="K17" s="775"/>
      <c r="L17" s="775"/>
      <c r="M17" s="774">
        <v>44684</v>
      </c>
      <c r="N17" s="769"/>
      <c r="O17" s="769"/>
      <c r="P17" s="769"/>
      <c r="Q17" s="769"/>
      <c r="R17" s="769"/>
      <c r="S17" s="768" t="s">
        <v>89</v>
      </c>
      <c r="T17" s="768"/>
      <c r="U17" s="768"/>
      <c r="V17" s="576">
        <v>3</v>
      </c>
      <c r="W17" s="769"/>
      <c r="X17" s="770"/>
      <c r="Y17" s="575" t="s">
        <v>1200</v>
      </c>
      <c r="Z17" s="612" t="s">
        <v>1200</v>
      </c>
      <c r="AA17" s="612" t="s">
        <v>1200</v>
      </c>
      <c r="AB17" s="147"/>
      <c r="AC17" s="147"/>
      <c r="AD17" s="147"/>
      <c r="AE17" s="147"/>
      <c r="AF17" s="147"/>
      <c r="AG17" s="147"/>
      <c r="AH17" s="148"/>
      <c r="AI17" s="766"/>
      <c r="AJ17" s="766"/>
      <c r="AK17" s="766"/>
      <c r="AL17" s="767"/>
    </row>
    <row r="18" spans="2:38" s="6" customFormat="1" ht="19.899999999999999" customHeight="1">
      <c r="B18" s="705"/>
      <c r="C18" s="832"/>
      <c r="D18" s="833"/>
      <c r="E18" s="833"/>
      <c r="F18" s="775" t="s">
        <v>1192</v>
      </c>
      <c r="G18" s="775"/>
      <c r="H18" s="775"/>
      <c r="I18" s="775"/>
      <c r="J18" s="775"/>
      <c r="K18" s="775"/>
      <c r="L18" s="775"/>
      <c r="M18" s="774">
        <v>44684</v>
      </c>
      <c r="N18" s="769"/>
      <c r="O18" s="769"/>
      <c r="P18" s="769"/>
      <c r="Q18" s="769"/>
      <c r="R18" s="769"/>
      <c r="S18" s="768" t="s">
        <v>89</v>
      </c>
      <c r="T18" s="768"/>
      <c r="U18" s="768"/>
      <c r="V18" s="611">
        <v>3</v>
      </c>
      <c r="W18" s="769"/>
      <c r="X18" s="770"/>
      <c r="Y18" s="575" t="s">
        <v>1200</v>
      </c>
      <c r="Z18" s="612" t="s">
        <v>1200</v>
      </c>
      <c r="AA18" s="612" t="s">
        <v>1200</v>
      </c>
      <c r="AB18" s="147"/>
      <c r="AC18" s="147"/>
      <c r="AD18" s="147"/>
      <c r="AE18" s="147"/>
      <c r="AF18" s="147"/>
      <c r="AG18" s="147"/>
      <c r="AH18" s="148"/>
      <c r="AI18" s="766"/>
      <c r="AJ18" s="766"/>
      <c r="AK18" s="766"/>
      <c r="AL18" s="767"/>
    </row>
    <row r="19" spans="2:38" s="6" customFormat="1" ht="19.899999999999999" customHeight="1">
      <c r="B19" s="705"/>
      <c r="C19" s="832"/>
      <c r="D19" s="833"/>
      <c r="E19" s="833"/>
      <c r="F19" s="775" t="s">
        <v>1204</v>
      </c>
      <c r="G19" s="775"/>
      <c r="H19" s="775"/>
      <c r="I19" s="775"/>
      <c r="J19" s="775"/>
      <c r="K19" s="775"/>
      <c r="L19" s="775"/>
      <c r="M19" s="774">
        <v>44684</v>
      </c>
      <c r="N19" s="769"/>
      <c r="O19" s="769"/>
      <c r="P19" s="769"/>
      <c r="Q19" s="769"/>
      <c r="R19" s="769"/>
      <c r="S19" s="768" t="s">
        <v>89</v>
      </c>
      <c r="T19" s="768"/>
      <c r="U19" s="768"/>
      <c r="V19" s="611">
        <v>3</v>
      </c>
      <c r="W19" s="769"/>
      <c r="X19" s="770"/>
      <c r="Y19" s="575" t="s">
        <v>1200</v>
      </c>
      <c r="Z19" s="612" t="s">
        <v>1200</v>
      </c>
      <c r="AA19" s="612" t="s">
        <v>1200</v>
      </c>
      <c r="AB19" s="147"/>
      <c r="AC19" s="147"/>
      <c r="AD19" s="147"/>
      <c r="AE19" s="147"/>
      <c r="AF19" s="147"/>
      <c r="AG19" s="147"/>
      <c r="AH19" s="148"/>
      <c r="AI19" s="766"/>
      <c r="AJ19" s="766"/>
      <c r="AK19" s="766"/>
      <c r="AL19" s="767"/>
    </row>
    <row r="20" spans="2:38" s="6" customFormat="1" ht="19.899999999999999" customHeight="1">
      <c r="B20" s="705"/>
      <c r="C20" s="832"/>
      <c r="D20" s="833"/>
      <c r="E20" s="833"/>
      <c r="F20" s="775" t="s">
        <v>1193</v>
      </c>
      <c r="G20" s="775"/>
      <c r="H20" s="775"/>
      <c r="I20" s="775"/>
      <c r="J20" s="775"/>
      <c r="K20" s="775"/>
      <c r="L20" s="775"/>
      <c r="M20" s="774">
        <v>44684</v>
      </c>
      <c r="N20" s="769"/>
      <c r="O20" s="769"/>
      <c r="P20" s="769"/>
      <c r="Q20" s="769"/>
      <c r="R20" s="769"/>
      <c r="S20" s="768" t="s">
        <v>89</v>
      </c>
      <c r="T20" s="768"/>
      <c r="U20" s="768"/>
      <c r="V20" s="611">
        <v>3</v>
      </c>
      <c r="W20" s="769"/>
      <c r="X20" s="770"/>
      <c r="Y20" s="575" t="s">
        <v>1200</v>
      </c>
      <c r="Z20" s="612" t="s">
        <v>1200</v>
      </c>
      <c r="AA20" s="612" t="s">
        <v>1200</v>
      </c>
      <c r="AB20" s="147"/>
      <c r="AC20" s="147"/>
      <c r="AD20" s="147"/>
      <c r="AE20" s="147"/>
      <c r="AF20" s="147"/>
      <c r="AG20" s="147"/>
      <c r="AH20" s="148"/>
      <c r="AI20" s="766"/>
      <c r="AJ20" s="766"/>
      <c r="AK20" s="766"/>
      <c r="AL20" s="767"/>
    </row>
    <row r="21" spans="2:38" s="6" customFormat="1" ht="19.899999999999999" customHeight="1">
      <c r="B21" s="705"/>
      <c r="C21" s="832"/>
      <c r="D21" s="833"/>
      <c r="E21" s="833"/>
      <c r="F21" s="775" t="s">
        <v>1194</v>
      </c>
      <c r="G21" s="775"/>
      <c r="H21" s="775"/>
      <c r="I21" s="775"/>
      <c r="J21" s="775"/>
      <c r="K21" s="775"/>
      <c r="L21" s="775"/>
      <c r="M21" s="774">
        <v>44684</v>
      </c>
      <c r="N21" s="769"/>
      <c r="O21" s="769"/>
      <c r="P21" s="769"/>
      <c r="Q21" s="769"/>
      <c r="R21" s="769"/>
      <c r="S21" s="768" t="s">
        <v>89</v>
      </c>
      <c r="T21" s="768"/>
      <c r="U21" s="768"/>
      <c r="V21" s="611">
        <v>3</v>
      </c>
      <c r="W21" s="769"/>
      <c r="X21" s="770"/>
      <c r="Y21" s="575" t="s">
        <v>1200</v>
      </c>
      <c r="Z21" s="612" t="s">
        <v>1200</v>
      </c>
      <c r="AA21" s="612" t="s">
        <v>1200</v>
      </c>
      <c r="AB21" s="147"/>
      <c r="AC21" s="147"/>
      <c r="AD21" s="147"/>
      <c r="AE21" s="147"/>
      <c r="AF21" s="147"/>
      <c r="AG21" s="147"/>
      <c r="AH21" s="148"/>
      <c r="AI21" s="766"/>
      <c r="AJ21" s="766"/>
      <c r="AK21" s="766"/>
      <c r="AL21" s="767"/>
    </row>
    <row r="22" spans="2:38" s="6" customFormat="1" ht="19.899999999999999" customHeight="1">
      <c r="B22" s="705"/>
      <c r="C22" s="832"/>
      <c r="D22" s="833"/>
      <c r="E22" s="833"/>
      <c r="F22" s="775" t="s">
        <v>1195</v>
      </c>
      <c r="G22" s="775"/>
      <c r="H22" s="775"/>
      <c r="I22" s="775"/>
      <c r="J22" s="775"/>
      <c r="K22" s="775"/>
      <c r="L22" s="775"/>
      <c r="M22" s="774">
        <v>44684</v>
      </c>
      <c r="N22" s="769"/>
      <c r="O22" s="769"/>
      <c r="P22" s="769"/>
      <c r="Q22" s="769"/>
      <c r="R22" s="769"/>
      <c r="S22" s="768" t="s">
        <v>89</v>
      </c>
      <c r="T22" s="768"/>
      <c r="U22" s="768"/>
      <c r="V22" s="611">
        <v>3</v>
      </c>
      <c r="W22" s="769"/>
      <c r="X22" s="770"/>
      <c r="Y22" s="575" t="s">
        <v>1200</v>
      </c>
      <c r="Z22" s="612" t="s">
        <v>1200</v>
      </c>
      <c r="AA22" s="612" t="s">
        <v>1200</v>
      </c>
      <c r="AB22" s="147"/>
      <c r="AC22" s="147"/>
      <c r="AD22" s="147"/>
      <c r="AE22" s="147"/>
      <c r="AF22" s="147"/>
      <c r="AG22" s="147"/>
      <c r="AH22" s="148"/>
      <c r="AI22" s="766"/>
      <c r="AJ22" s="766"/>
      <c r="AK22" s="766"/>
      <c r="AL22" s="767"/>
    </row>
    <row r="23" spans="2:38" s="6" customFormat="1" ht="19.899999999999999" customHeight="1">
      <c r="B23" s="705"/>
      <c r="C23" s="832"/>
      <c r="D23" s="833"/>
      <c r="E23" s="833"/>
      <c r="F23" s="775" t="s">
        <v>1196</v>
      </c>
      <c r="G23" s="775"/>
      <c r="H23" s="775"/>
      <c r="I23" s="775"/>
      <c r="J23" s="775"/>
      <c r="K23" s="775"/>
      <c r="L23" s="775"/>
      <c r="M23" s="774">
        <v>44684</v>
      </c>
      <c r="N23" s="769"/>
      <c r="O23" s="769"/>
      <c r="P23" s="769"/>
      <c r="Q23" s="769"/>
      <c r="R23" s="769"/>
      <c r="S23" s="768" t="s">
        <v>89</v>
      </c>
      <c r="T23" s="768"/>
      <c r="U23" s="768"/>
      <c r="V23" s="611">
        <v>3</v>
      </c>
      <c r="W23" s="769"/>
      <c r="X23" s="770"/>
      <c r="Y23" s="575" t="s">
        <v>1200</v>
      </c>
      <c r="Z23" s="612" t="s">
        <v>1200</v>
      </c>
      <c r="AA23" s="612" t="s">
        <v>1200</v>
      </c>
      <c r="AB23" s="147"/>
      <c r="AC23" s="147"/>
      <c r="AD23" s="147"/>
      <c r="AE23" s="147"/>
      <c r="AF23" s="147"/>
      <c r="AG23" s="147"/>
      <c r="AH23" s="148"/>
      <c r="AI23" s="766"/>
      <c r="AJ23" s="766"/>
      <c r="AK23" s="766"/>
      <c r="AL23" s="767"/>
    </row>
    <row r="24" spans="2:38" s="6" customFormat="1" ht="19.899999999999999" customHeight="1">
      <c r="B24" s="705"/>
      <c r="C24" s="832"/>
      <c r="D24" s="833"/>
      <c r="E24" s="833"/>
      <c r="F24" s="775" t="s">
        <v>1197</v>
      </c>
      <c r="G24" s="775"/>
      <c r="H24" s="775"/>
      <c r="I24" s="775"/>
      <c r="J24" s="775"/>
      <c r="K24" s="775"/>
      <c r="L24" s="775"/>
      <c r="M24" s="774">
        <v>44684</v>
      </c>
      <c r="N24" s="769"/>
      <c r="O24" s="769"/>
      <c r="P24" s="769"/>
      <c r="Q24" s="769"/>
      <c r="R24" s="769"/>
      <c r="S24" s="768" t="s">
        <v>89</v>
      </c>
      <c r="T24" s="768"/>
      <c r="U24" s="768"/>
      <c r="V24" s="611">
        <v>3</v>
      </c>
      <c r="W24" s="769"/>
      <c r="X24" s="770"/>
      <c r="Y24" s="575" t="s">
        <v>1200</v>
      </c>
      <c r="Z24" s="612" t="s">
        <v>1200</v>
      </c>
      <c r="AA24" s="612" t="s">
        <v>1200</v>
      </c>
      <c r="AB24" s="147"/>
      <c r="AC24" s="147"/>
      <c r="AD24" s="147"/>
      <c r="AE24" s="147"/>
      <c r="AF24" s="147"/>
      <c r="AG24" s="147"/>
      <c r="AH24" s="148"/>
      <c r="AI24" s="766"/>
      <c r="AJ24" s="766"/>
      <c r="AK24" s="766"/>
      <c r="AL24" s="767"/>
    </row>
    <row r="25" spans="2:38" s="6" customFormat="1" ht="19.899999999999999" customHeight="1" thickBot="1">
      <c r="B25" s="706"/>
      <c r="C25" s="857"/>
      <c r="D25" s="858"/>
      <c r="E25" s="858"/>
      <c r="F25" s="773" t="s">
        <v>1198</v>
      </c>
      <c r="G25" s="773"/>
      <c r="H25" s="773"/>
      <c r="I25" s="773"/>
      <c r="J25" s="773"/>
      <c r="K25" s="773"/>
      <c r="L25" s="773"/>
      <c r="M25" s="774">
        <v>44684</v>
      </c>
      <c r="N25" s="769"/>
      <c r="O25" s="769"/>
      <c r="P25" s="761"/>
      <c r="Q25" s="761"/>
      <c r="R25" s="761"/>
      <c r="S25" s="768" t="s">
        <v>89</v>
      </c>
      <c r="T25" s="768"/>
      <c r="U25" s="768"/>
      <c r="V25" s="611">
        <v>3</v>
      </c>
      <c r="W25" s="761"/>
      <c r="X25" s="762"/>
      <c r="Y25" s="575" t="s">
        <v>1200</v>
      </c>
      <c r="Z25" s="612" t="s">
        <v>1200</v>
      </c>
      <c r="AA25" s="612" t="s">
        <v>1200</v>
      </c>
      <c r="AB25" s="149"/>
      <c r="AC25" s="149"/>
      <c r="AD25" s="149"/>
      <c r="AE25" s="149"/>
      <c r="AF25" s="149"/>
      <c r="AG25" s="149"/>
      <c r="AH25" s="150"/>
      <c r="AI25" s="771"/>
      <c r="AJ25" s="771"/>
      <c r="AK25" s="771"/>
      <c r="AL25" s="772"/>
    </row>
    <row r="26" spans="2:38" s="10" customFormat="1" ht="21.75" customHeight="1">
      <c r="B26" s="705" t="s">
        <v>534</v>
      </c>
      <c r="C26" s="41" t="s">
        <v>467</v>
      </c>
      <c r="D26" s="41"/>
      <c r="E26" s="41"/>
      <c r="F26" s="41"/>
      <c r="G26" s="41"/>
      <c r="H26" s="41"/>
      <c r="I26" s="41"/>
      <c r="J26" s="41"/>
      <c r="K26" s="41"/>
      <c r="L26" s="41"/>
      <c r="M26" s="42" t="s">
        <v>11</v>
      </c>
      <c r="N26" s="41"/>
      <c r="O26" s="43"/>
      <c r="P26" s="42" t="s">
        <v>12</v>
      </c>
      <c r="Q26" s="41"/>
      <c r="R26" s="43"/>
      <c r="S26" s="41" t="s">
        <v>9</v>
      </c>
      <c r="T26" s="41"/>
      <c r="U26" s="41"/>
      <c r="V26" s="41"/>
      <c r="W26" s="41"/>
      <c r="X26" s="41"/>
      <c r="Y26" s="41"/>
      <c r="Z26" s="44"/>
      <c r="AA26" s="719" t="s">
        <v>539</v>
      </c>
      <c r="AB26" s="720"/>
      <c r="AC26" s="717" t="s">
        <v>920</v>
      </c>
      <c r="AD26" s="717"/>
      <c r="AE26" s="717"/>
      <c r="AF26" s="760"/>
      <c r="AG26" s="716" t="s">
        <v>45</v>
      </c>
      <c r="AH26" s="717"/>
      <c r="AI26" s="717"/>
      <c r="AJ26" s="717"/>
      <c r="AK26" s="717"/>
      <c r="AL26" s="718"/>
    </row>
    <row r="27" spans="2:38" s="8" customFormat="1" ht="15" customHeight="1">
      <c r="B27" s="70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702">
        <v>44684</v>
      </c>
      <c r="N27" s="703"/>
      <c r="O27" s="704"/>
      <c r="P27" s="46"/>
      <c r="Q27" s="45"/>
      <c r="R27" s="47"/>
      <c r="S27" s="45"/>
      <c r="T27" s="45"/>
      <c r="U27" s="34"/>
      <c r="V27" s="34"/>
      <c r="W27" s="34"/>
      <c r="X27" s="34"/>
      <c r="Y27" s="34"/>
      <c r="Z27" s="48"/>
      <c r="AA27" s="721" t="s">
        <v>540</v>
      </c>
      <c r="AB27" s="722"/>
      <c r="AC27" s="722"/>
      <c r="AD27" s="722"/>
      <c r="AE27" s="722"/>
      <c r="AF27" s="723"/>
      <c r="AG27" s="748" t="s">
        <v>1203</v>
      </c>
      <c r="AH27" s="749"/>
      <c r="AI27" s="749"/>
      <c r="AJ27" s="749"/>
      <c r="AK27" s="749"/>
      <c r="AL27" s="750"/>
    </row>
    <row r="28" spans="2:38" s="8" customFormat="1" ht="15" customHeight="1">
      <c r="B28" s="705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2"/>
      <c r="N28" s="51"/>
      <c r="O28" s="53"/>
      <c r="P28" s="52"/>
      <c r="Q28" s="51"/>
      <c r="R28" s="53"/>
      <c r="S28" s="51"/>
      <c r="T28" s="51"/>
      <c r="U28" s="54"/>
      <c r="V28" s="54"/>
      <c r="W28" s="54"/>
      <c r="X28" s="54"/>
      <c r="Y28" s="54"/>
      <c r="Z28" s="55"/>
      <c r="AA28" s="724"/>
      <c r="AB28" s="725"/>
      <c r="AC28" s="725"/>
      <c r="AD28" s="725"/>
      <c r="AE28" s="725"/>
      <c r="AF28" s="726"/>
      <c r="AG28" s="751"/>
      <c r="AH28" s="752"/>
      <c r="AI28" s="752"/>
      <c r="AJ28" s="752"/>
      <c r="AK28" s="752"/>
      <c r="AL28" s="753"/>
    </row>
    <row r="29" spans="2:38" s="8" customFormat="1" ht="15" customHeight="1">
      <c r="B29" s="705"/>
      <c r="C29" s="45" t="s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s">
        <v>11</v>
      </c>
      <c r="N29" s="45"/>
      <c r="O29" s="47"/>
      <c r="P29" s="46" t="s">
        <v>12</v>
      </c>
      <c r="Q29" s="45"/>
      <c r="R29" s="47"/>
      <c r="S29" s="45" t="s">
        <v>9</v>
      </c>
      <c r="T29" s="45"/>
      <c r="U29" s="34"/>
      <c r="V29" s="34"/>
      <c r="W29" s="34"/>
      <c r="X29" s="34"/>
      <c r="Y29" s="34"/>
      <c r="Z29" s="48"/>
      <c r="AA29" s="58" t="s">
        <v>529</v>
      </c>
      <c r="AB29" s="49"/>
      <c r="AC29" s="49"/>
      <c r="AD29" s="49"/>
      <c r="AE29" s="49"/>
      <c r="AF29" s="49"/>
      <c r="AG29" s="59"/>
      <c r="AH29" s="59"/>
      <c r="AI29" s="59"/>
      <c r="AJ29" s="59"/>
      <c r="AK29" s="59"/>
      <c r="AL29" s="60"/>
    </row>
    <row r="30" spans="2:38" s="8" customFormat="1" ht="15" customHeight="1">
      <c r="B30" s="70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6"/>
      <c r="N30" s="45"/>
      <c r="O30" s="47"/>
      <c r="P30" s="46"/>
      <c r="Q30" s="45"/>
      <c r="R30" s="47"/>
      <c r="S30" s="45"/>
      <c r="T30" s="45"/>
      <c r="U30" s="34"/>
      <c r="V30" s="34"/>
      <c r="W30" s="34"/>
      <c r="X30" s="34"/>
      <c r="Y30" s="34"/>
      <c r="Z30" s="48"/>
      <c r="AA30" s="754"/>
      <c r="AB30" s="755"/>
      <c r="AC30" s="755"/>
      <c r="AD30" s="755"/>
      <c r="AE30" s="755"/>
      <c r="AF30" s="755"/>
      <c r="AG30" s="755"/>
      <c r="AH30" s="755"/>
      <c r="AI30" s="755"/>
      <c r="AJ30" s="755"/>
      <c r="AK30" s="755"/>
      <c r="AL30" s="756"/>
    </row>
    <row r="31" spans="2:38" s="8" customFormat="1" ht="15" customHeight="1">
      <c r="B31" s="705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2"/>
      <c r="N31" s="51"/>
      <c r="O31" s="53"/>
      <c r="P31" s="52"/>
      <c r="Q31" s="51"/>
      <c r="R31" s="53"/>
      <c r="S31" s="51"/>
      <c r="T31" s="51"/>
      <c r="U31" s="54"/>
      <c r="V31" s="54"/>
      <c r="W31" s="54"/>
      <c r="X31" s="54"/>
      <c r="Y31" s="54"/>
      <c r="Z31" s="55"/>
      <c r="AA31" s="754"/>
      <c r="AB31" s="755"/>
      <c r="AC31" s="755"/>
      <c r="AD31" s="755"/>
      <c r="AE31" s="755"/>
      <c r="AF31" s="755"/>
      <c r="AG31" s="755"/>
      <c r="AH31" s="755"/>
      <c r="AI31" s="755"/>
      <c r="AJ31" s="755"/>
      <c r="AK31" s="755"/>
      <c r="AL31" s="756"/>
    </row>
    <row r="32" spans="2:38" s="8" customFormat="1" ht="15" customHeight="1" thickBot="1">
      <c r="B32" s="705"/>
      <c r="C32" s="45" t="s">
        <v>7</v>
      </c>
      <c r="D32" s="45"/>
      <c r="E32" s="45"/>
      <c r="F32" s="45"/>
      <c r="G32" s="45"/>
      <c r="H32" s="45"/>
      <c r="I32" s="45"/>
      <c r="J32" s="45"/>
      <c r="K32" s="45"/>
      <c r="L32" s="45"/>
      <c r="M32" s="46" t="s">
        <v>11</v>
      </c>
      <c r="N32" s="45"/>
      <c r="O32" s="47"/>
      <c r="P32" s="46" t="s">
        <v>12</v>
      </c>
      <c r="Q32" s="45"/>
      <c r="R32" s="47"/>
      <c r="S32" s="45" t="s">
        <v>9</v>
      </c>
      <c r="T32" s="45"/>
      <c r="U32" s="34"/>
      <c r="V32" s="34"/>
      <c r="W32" s="34"/>
      <c r="X32" s="34"/>
      <c r="Y32" s="34"/>
      <c r="Z32" s="48"/>
      <c r="AA32" s="757"/>
      <c r="AB32" s="758"/>
      <c r="AC32" s="758"/>
      <c r="AD32" s="758"/>
      <c r="AE32" s="758"/>
      <c r="AF32" s="758"/>
      <c r="AG32" s="758"/>
      <c r="AH32" s="758"/>
      <c r="AI32" s="758"/>
      <c r="AJ32" s="758"/>
      <c r="AK32" s="758"/>
      <c r="AL32" s="759"/>
    </row>
    <row r="33" spans="2:39" s="8" customFormat="1" ht="15" customHeight="1">
      <c r="B33" s="70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6"/>
      <c r="N33" s="45"/>
      <c r="O33" s="47"/>
      <c r="P33" s="46"/>
      <c r="Q33" s="45"/>
      <c r="R33" s="47"/>
      <c r="S33" s="45"/>
      <c r="T33" s="45"/>
      <c r="U33" s="34"/>
      <c r="V33" s="34"/>
      <c r="W33" s="34"/>
      <c r="X33" s="34"/>
      <c r="Y33" s="34"/>
      <c r="Z33" s="48"/>
      <c r="AA33" s="742" t="s">
        <v>44</v>
      </c>
      <c r="AB33" s="743"/>
      <c r="AC33" s="743"/>
      <c r="AD33" s="743"/>
      <c r="AE33" s="743"/>
      <c r="AF33" s="744"/>
      <c r="AG33" s="727" t="s">
        <v>13</v>
      </c>
      <c r="AH33" s="728"/>
      <c r="AI33" s="728"/>
      <c r="AJ33" s="728"/>
      <c r="AK33" s="728"/>
      <c r="AL33" s="729"/>
    </row>
    <row r="34" spans="2:39" s="8" customFormat="1" ht="15" customHeight="1">
      <c r="B34" s="705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2"/>
      <c r="N34" s="51"/>
      <c r="O34" s="53"/>
      <c r="P34" s="52"/>
      <c r="Q34" s="51"/>
      <c r="R34" s="53"/>
      <c r="S34" s="51"/>
      <c r="T34" s="51"/>
      <c r="U34" s="54"/>
      <c r="V34" s="54"/>
      <c r="W34" s="54"/>
      <c r="X34" s="54"/>
      <c r="Y34" s="54"/>
      <c r="Z34" s="55"/>
      <c r="AA34" s="745"/>
      <c r="AB34" s="746"/>
      <c r="AC34" s="746"/>
      <c r="AD34" s="746"/>
      <c r="AE34" s="746"/>
      <c r="AF34" s="747"/>
      <c r="AG34" s="730"/>
      <c r="AH34" s="731"/>
      <c r="AI34" s="731"/>
      <c r="AJ34" s="731"/>
      <c r="AK34" s="731"/>
      <c r="AL34" s="732"/>
      <c r="AM34" s="18"/>
    </row>
    <row r="35" spans="2:39" s="8" customFormat="1" ht="15" customHeight="1">
      <c r="B35" s="705"/>
      <c r="C35" s="45" t="s">
        <v>8</v>
      </c>
      <c r="D35" s="45"/>
      <c r="E35" s="45"/>
      <c r="F35" s="45"/>
      <c r="G35" s="45"/>
      <c r="H35" s="45"/>
      <c r="I35" s="45"/>
      <c r="J35" s="45"/>
      <c r="K35" s="45"/>
      <c r="L35" s="45"/>
      <c r="M35" s="46" t="s">
        <v>11</v>
      </c>
      <c r="N35" s="45"/>
      <c r="O35" s="47"/>
      <c r="P35" s="46" t="s">
        <v>12</v>
      </c>
      <c r="Q35" s="45"/>
      <c r="R35" s="47"/>
      <c r="S35" s="452" t="s">
        <v>10</v>
      </c>
      <c r="T35" s="452"/>
      <c r="U35" s="453"/>
      <c r="V35" s="453"/>
      <c r="W35" s="453"/>
      <c r="X35" s="453"/>
      <c r="Y35" s="453"/>
      <c r="Z35" s="454"/>
      <c r="AA35" s="733" t="s">
        <v>43</v>
      </c>
      <c r="AB35" s="734"/>
      <c r="AC35" s="734"/>
      <c r="AD35" s="734"/>
      <c r="AE35" s="734"/>
      <c r="AF35" s="735"/>
      <c r="AG35" s="730" t="s">
        <v>47</v>
      </c>
      <c r="AH35" s="731"/>
      <c r="AI35" s="731"/>
      <c r="AJ35" s="731"/>
      <c r="AK35" s="731"/>
      <c r="AL35" s="732"/>
      <c r="AM35" s="18"/>
    </row>
    <row r="36" spans="2:39" s="8" customFormat="1" ht="15" customHeight="1" thickBot="1">
      <c r="B36" s="70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6"/>
      <c r="N36" s="45"/>
      <c r="O36" s="47"/>
      <c r="P36" s="46"/>
      <c r="Q36" s="45"/>
      <c r="R36" s="47"/>
      <c r="S36" s="452"/>
      <c r="T36" s="452"/>
      <c r="U36" s="453"/>
      <c r="V36" s="453"/>
      <c r="W36" s="453"/>
      <c r="X36" s="453"/>
      <c r="Y36" s="453"/>
      <c r="Z36" s="455"/>
      <c r="AA36" s="736"/>
      <c r="AB36" s="737"/>
      <c r="AC36" s="737"/>
      <c r="AD36" s="737"/>
      <c r="AE36" s="737"/>
      <c r="AF36" s="738"/>
      <c r="AG36" s="739"/>
      <c r="AH36" s="740"/>
      <c r="AI36" s="740"/>
      <c r="AJ36" s="740"/>
      <c r="AK36" s="740"/>
      <c r="AL36" s="741"/>
      <c r="AM36" s="18"/>
    </row>
    <row r="37" spans="2:39" s="8" customFormat="1" ht="15" customHeight="1" thickBot="1">
      <c r="B37" s="706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9"/>
      <c r="N37" s="63"/>
      <c r="O37" s="70"/>
      <c r="P37" s="69"/>
      <c r="Q37" s="63"/>
      <c r="R37" s="70"/>
      <c r="S37" s="456"/>
      <c r="T37" s="456"/>
      <c r="U37" s="456"/>
      <c r="V37" s="456"/>
      <c r="W37" s="456"/>
      <c r="X37" s="456"/>
      <c r="Y37" s="456"/>
      <c r="Z37" s="457"/>
      <c r="AA37" s="840" t="s">
        <v>746</v>
      </c>
      <c r="AB37" s="841"/>
      <c r="AC37" s="841"/>
      <c r="AD37" s="841"/>
      <c r="AE37" s="841"/>
      <c r="AF37" s="841"/>
      <c r="AG37" s="841"/>
      <c r="AH37" s="841"/>
      <c r="AI37" s="841"/>
      <c r="AJ37" s="841"/>
      <c r="AK37" s="841"/>
      <c r="AL37" s="842"/>
    </row>
    <row r="38" spans="2:39" s="8" customFormat="1" ht="12" customHeight="1"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49"/>
      <c r="T38" s="49"/>
      <c r="U38" s="49"/>
      <c r="V38" s="49"/>
      <c r="W38" s="49"/>
      <c r="X38" s="49"/>
      <c r="Y38" s="49"/>
      <c r="Z38" s="49"/>
      <c r="AA38" s="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</row>
    <row r="39" spans="2:39" s="8" customFormat="1" ht="12" customHeight="1"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9"/>
      <c r="X39" s="9"/>
      <c r="Y39" s="34"/>
      <c r="Z39" s="34"/>
      <c r="AA39" s="839" t="s">
        <v>533</v>
      </c>
      <c r="AB39" s="839"/>
      <c r="AC39" s="839"/>
      <c r="AD39" s="839"/>
      <c r="AE39" s="839"/>
      <c r="AF39" s="839"/>
      <c r="AG39" s="839"/>
      <c r="AH39" s="34"/>
      <c r="AI39" s="34"/>
      <c r="AJ39" s="34"/>
      <c r="AK39" s="34"/>
      <c r="AL39" s="74"/>
    </row>
    <row r="40" spans="2:39" s="8" customFormat="1" ht="12" customHeight="1">
      <c r="C40" s="20"/>
      <c r="D40" s="34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73"/>
      <c r="U40" s="9"/>
      <c r="V40" s="34"/>
      <c r="W40" s="34"/>
      <c r="X40" s="9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74"/>
    </row>
    <row r="41" spans="2:39" s="8" customFormat="1" ht="12" customHeight="1">
      <c r="C41" s="20"/>
      <c r="T41" s="23"/>
      <c r="W41" s="20"/>
      <c r="AL41" s="22"/>
    </row>
    <row r="42" spans="2:39" ht="18" customHeight="1"/>
    <row r="43" spans="2:39" ht="18" customHeight="1">
      <c r="C43" s="3"/>
    </row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</sheetData>
  <mergeCells count="134">
    <mergeCell ref="B14:B25"/>
    <mergeCell ref="W17:X17"/>
    <mergeCell ref="C18:E18"/>
    <mergeCell ref="C17:E17"/>
    <mergeCell ref="F17:L17"/>
    <mergeCell ref="C16:E16"/>
    <mergeCell ref="W18:X18"/>
    <mergeCell ref="C21:E21"/>
    <mergeCell ref="C23:E23"/>
    <mergeCell ref="W20:X20"/>
    <mergeCell ref="W16:X16"/>
    <mergeCell ref="C24:E24"/>
    <mergeCell ref="C25:E25"/>
    <mergeCell ref="C14:E15"/>
    <mergeCell ref="S20:U20"/>
    <mergeCell ref="S16:U16"/>
    <mergeCell ref="AA39:AG39"/>
    <mergeCell ref="AA37:AL37"/>
    <mergeCell ref="F8:K8"/>
    <mergeCell ref="O8:U8"/>
    <mergeCell ref="F9:K9"/>
    <mergeCell ref="N13:U13"/>
    <mergeCell ref="O9:U9"/>
    <mergeCell ref="P20:R20"/>
    <mergeCell ref="M19:O19"/>
    <mergeCell ref="P19:R19"/>
    <mergeCell ref="F16:L16"/>
    <mergeCell ref="F18:L18"/>
    <mergeCell ref="P16:R16"/>
    <mergeCell ref="M17:O17"/>
    <mergeCell ref="P18:R18"/>
    <mergeCell ref="P17:R17"/>
    <mergeCell ref="M16:O16"/>
    <mergeCell ref="M18:O18"/>
    <mergeCell ref="S25:U25"/>
    <mergeCell ref="F24:L24"/>
    <mergeCell ref="S19:U19"/>
    <mergeCell ref="C11:K11"/>
    <mergeCell ref="V9:V15"/>
    <mergeCell ref="G12:K12"/>
    <mergeCell ref="M20:O20"/>
    <mergeCell ref="G10:K10"/>
    <mergeCell ref="C20:E20"/>
    <mergeCell ref="F20:L20"/>
    <mergeCell ref="S17:U17"/>
    <mergeCell ref="S21:U21"/>
    <mergeCell ref="S22:U22"/>
    <mergeCell ref="C19:E19"/>
    <mergeCell ref="F19:L19"/>
    <mergeCell ref="C22:E22"/>
    <mergeCell ref="F14:L15"/>
    <mergeCell ref="W10:X10"/>
    <mergeCell ref="Y11:Y15"/>
    <mergeCell ref="Z11:Z15"/>
    <mergeCell ref="AA11:AA15"/>
    <mergeCell ref="C9:E9"/>
    <mergeCell ref="L9:N9"/>
    <mergeCell ref="O12:U12"/>
    <mergeCell ref="L10:N10"/>
    <mergeCell ref="C13:K13"/>
    <mergeCell ref="W13:X15"/>
    <mergeCell ref="W9:X9"/>
    <mergeCell ref="W11:X11"/>
    <mergeCell ref="W12:X12"/>
    <mergeCell ref="S24:U24"/>
    <mergeCell ref="S23:U23"/>
    <mergeCell ref="W24:X24"/>
    <mergeCell ref="P25:R25"/>
    <mergeCell ref="AF1:AJ1"/>
    <mergeCell ref="AF6:AK6"/>
    <mergeCell ref="AI7:AL8"/>
    <mergeCell ref="Z8:AH8"/>
    <mergeCell ref="L11:N11"/>
    <mergeCell ref="O11:U11"/>
    <mergeCell ref="AB11:AB15"/>
    <mergeCell ref="AC11:AC15"/>
    <mergeCell ref="AD11:AD15"/>
    <mergeCell ref="AE11:AE15"/>
    <mergeCell ref="AF11:AF15"/>
    <mergeCell ref="AG11:AG15"/>
    <mergeCell ref="AH11:AH15"/>
    <mergeCell ref="M14:O15"/>
    <mergeCell ref="P14:R15"/>
    <mergeCell ref="S14:U15"/>
    <mergeCell ref="P2:AA2"/>
    <mergeCell ref="P3:AA3"/>
    <mergeCell ref="AI10:AL14"/>
    <mergeCell ref="Y10:AH10"/>
    <mergeCell ref="F25:L25"/>
    <mergeCell ref="M25:O25"/>
    <mergeCell ref="F23:L23"/>
    <mergeCell ref="P23:R23"/>
    <mergeCell ref="M23:O23"/>
    <mergeCell ref="M21:O21"/>
    <mergeCell ref="P21:R21"/>
    <mergeCell ref="P24:R24"/>
    <mergeCell ref="M24:O24"/>
    <mergeCell ref="M22:O22"/>
    <mergeCell ref="P22:R22"/>
    <mergeCell ref="F22:L22"/>
    <mergeCell ref="F21:L21"/>
    <mergeCell ref="AI19:AL19"/>
    <mergeCell ref="AI25:AL25"/>
    <mergeCell ref="W22:X22"/>
    <mergeCell ref="W23:X23"/>
    <mergeCell ref="AI20:AL20"/>
    <mergeCell ref="AI21:AL21"/>
    <mergeCell ref="AI22:AL22"/>
    <mergeCell ref="AI23:AL23"/>
    <mergeCell ref="W19:X19"/>
    <mergeCell ref="M27:O27"/>
    <mergeCell ref="B26:B37"/>
    <mergeCell ref="B7:B13"/>
    <mergeCell ref="V7:AH7"/>
    <mergeCell ref="F7:U7"/>
    <mergeCell ref="V8:X8"/>
    <mergeCell ref="AG26:AL26"/>
    <mergeCell ref="AA26:AB26"/>
    <mergeCell ref="AA27:AF28"/>
    <mergeCell ref="AG33:AL34"/>
    <mergeCell ref="AA35:AF36"/>
    <mergeCell ref="AG35:AL36"/>
    <mergeCell ref="AA33:AF34"/>
    <mergeCell ref="AG27:AL28"/>
    <mergeCell ref="AA30:AL32"/>
    <mergeCell ref="AC26:AF26"/>
    <mergeCell ref="W25:X25"/>
    <mergeCell ref="AI15:AL15"/>
    <mergeCell ref="AI16:AL16"/>
    <mergeCell ref="AI17:AL17"/>
    <mergeCell ref="AI18:AL18"/>
    <mergeCell ref="S18:U18"/>
    <mergeCell ref="W21:X21"/>
    <mergeCell ref="AI24:AL24"/>
  </mergeCells>
  <phoneticPr fontId="3" type="noConversion"/>
  <hyperlinks>
    <hyperlink ref="AF6" r:id="rId1"/>
    <hyperlink ref="AA39" r:id="rId2"/>
  </hyperlinks>
  <printOptions horizontalCentered="1" verticalCentered="1"/>
  <pageMargins left="0" right="0" top="0" bottom="0.5" header="0" footer="0.25"/>
  <pageSetup scale="79" orientation="landscape" r:id="rId3"/>
  <headerFooter alignWithMargins="0">
    <oddFooter>&amp;R&amp;8F083-Blank_COC_20181228</oddFooter>
  </headerFooter>
  <rowBreaks count="1" manualBreakCount="1">
    <brk id="41" max="16383" man="1"/>
  </rowBreak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AP57"/>
  <sheetViews>
    <sheetView showGridLines="0" showRowColHeaders="0" topLeftCell="A5" zoomScale="75" workbookViewId="0">
      <selection activeCell="W16" sqref="W16:X1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6" t="s">
        <v>15</v>
      </c>
      <c r="AG1" s="776"/>
      <c r="AH1" s="776"/>
      <c r="AI1" s="776"/>
      <c r="AJ1" s="910"/>
    </row>
    <row r="2" spans="2:42" s="8" customFormat="1" ht="15" customHeight="1">
      <c r="K2" s="11"/>
      <c r="L2" s="11"/>
      <c r="M2" s="11"/>
      <c r="N2" s="11"/>
      <c r="O2" s="11"/>
      <c r="P2" s="800" t="s">
        <v>30</v>
      </c>
      <c r="Q2" s="800"/>
      <c r="R2" s="800"/>
      <c r="S2" s="800"/>
      <c r="T2" s="800"/>
      <c r="U2" s="800"/>
      <c r="V2" s="800"/>
      <c r="W2" s="800"/>
      <c r="X2" s="800"/>
      <c r="Y2" s="800"/>
      <c r="Z2" s="800"/>
      <c r="AA2" s="800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76"/>
      <c r="P3" s="800" t="s">
        <v>14</v>
      </c>
      <c r="Q3" s="800"/>
      <c r="R3" s="800"/>
      <c r="S3" s="800"/>
      <c r="T3" s="800"/>
      <c r="U3" s="800"/>
      <c r="V3" s="800"/>
      <c r="W3" s="800"/>
      <c r="X3" s="800"/>
      <c r="Y3" s="800"/>
      <c r="Z3" s="800"/>
      <c r="AA3" s="800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1" t="s">
        <v>66</v>
      </c>
      <c r="Q4" s="911"/>
      <c r="R4" s="911"/>
      <c r="S4" s="911"/>
      <c r="T4" s="911"/>
      <c r="U4" s="911"/>
      <c r="V4" s="911"/>
      <c r="W4" s="911"/>
      <c r="X4" s="911"/>
      <c r="Y4" s="911"/>
      <c r="Z4" s="911"/>
      <c r="AA4" s="911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8" t="s">
        <v>24</v>
      </c>
      <c r="AG6" s="778"/>
      <c r="AH6" s="778"/>
      <c r="AI6" s="779"/>
      <c r="AJ6" s="779"/>
      <c r="AK6" s="779"/>
      <c r="AL6" s="15"/>
    </row>
    <row r="7" spans="2:42" s="2" customFormat="1" ht="34.9" customHeight="1" thickTop="1" thickBot="1">
      <c r="B7" s="707" t="s">
        <v>535</v>
      </c>
      <c r="C7" s="889" t="s">
        <v>0</v>
      </c>
      <c r="D7" s="890"/>
      <c r="E7" s="890"/>
      <c r="F7" s="891"/>
      <c r="G7" s="891"/>
      <c r="H7" s="891"/>
      <c r="I7" s="891"/>
      <c r="J7" s="891"/>
      <c r="K7" s="891"/>
      <c r="L7" s="891"/>
      <c r="M7" s="891"/>
      <c r="N7" s="891"/>
      <c r="O7" s="891"/>
      <c r="P7" s="891"/>
      <c r="Q7" s="891"/>
      <c r="R7" s="891"/>
      <c r="S7" s="891"/>
      <c r="T7" s="891"/>
      <c r="U7" s="892"/>
      <c r="V7" s="886" t="s">
        <v>544</v>
      </c>
      <c r="W7" s="887"/>
      <c r="X7" s="887"/>
      <c r="Y7" s="887"/>
      <c r="Z7" s="887"/>
      <c r="AA7" s="887"/>
      <c r="AB7" s="887"/>
      <c r="AC7" s="887"/>
      <c r="AD7" s="887"/>
      <c r="AE7" s="887"/>
      <c r="AF7" s="887"/>
      <c r="AG7" s="887"/>
      <c r="AH7" s="888"/>
      <c r="AI7" s="865" t="s">
        <v>48</v>
      </c>
      <c r="AJ7" s="866"/>
      <c r="AK7" s="866"/>
      <c r="AL7" s="867"/>
    </row>
    <row r="8" spans="2:42" s="2" customFormat="1" ht="34.9" customHeight="1" thickBot="1">
      <c r="B8" s="705"/>
      <c r="C8" s="33" t="s">
        <v>1</v>
      </c>
      <c r="D8" s="33"/>
      <c r="E8" s="33"/>
      <c r="F8" s="893"/>
      <c r="G8" s="893"/>
      <c r="H8" s="893"/>
      <c r="I8" s="893"/>
      <c r="J8" s="893"/>
      <c r="K8" s="893"/>
      <c r="L8" s="5" t="s">
        <v>20</v>
      </c>
      <c r="M8" s="33"/>
      <c r="N8" s="33"/>
      <c r="O8" s="914"/>
      <c r="P8" s="914"/>
      <c r="Q8" s="914"/>
      <c r="R8" s="914"/>
      <c r="S8" s="914"/>
      <c r="T8" s="914"/>
      <c r="U8" s="915"/>
      <c r="V8" s="916" t="s">
        <v>537</v>
      </c>
      <c r="W8" s="917"/>
      <c r="X8" s="918"/>
      <c r="Y8" s="107"/>
      <c r="Z8" s="894" t="s">
        <v>85</v>
      </c>
      <c r="AA8" s="894"/>
      <c r="AB8" s="894"/>
      <c r="AC8" s="894"/>
      <c r="AD8" s="894"/>
      <c r="AE8" s="894"/>
      <c r="AF8" s="894"/>
      <c r="AG8" s="894"/>
      <c r="AH8" s="107"/>
      <c r="AI8" s="868"/>
      <c r="AJ8" s="868"/>
      <c r="AK8" s="868"/>
      <c r="AL8" s="869"/>
    </row>
    <row r="9" spans="2:42" s="2" customFormat="1" ht="40.15" customHeight="1">
      <c r="B9" s="705"/>
      <c r="C9" s="903" t="s">
        <v>37</v>
      </c>
      <c r="D9" s="904"/>
      <c r="E9" s="904"/>
      <c r="F9" s="893"/>
      <c r="G9" s="893"/>
      <c r="H9" s="893"/>
      <c r="I9" s="893"/>
      <c r="J9" s="893"/>
      <c r="K9" s="893"/>
      <c r="L9" s="919" t="s">
        <v>38</v>
      </c>
      <c r="M9" s="919"/>
      <c r="N9" s="919"/>
      <c r="O9" s="912"/>
      <c r="P9" s="912"/>
      <c r="Q9" s="912"/>
      <c r="R9" s="912"/>
      <c r="S9" s="912"/>
      <c r="T9" s="912"/>
      <c r="U9" s="913"/>
      <c r="V9" s="920" t="s">
        <v>62</v>
      </c>
      <c r="W9" s="926"/>
      <c r="X9" s="927"/>
      <c r="Y9" s="111" t="s">
        <v>468</v>
      </c>
      <c r="Z9" s="110" t="s">
        <v>468</v>
      </c>
      <c r="AA9" s="110" t="s">
        <v>468</v>
      </c>
      <c r="AB9" s="110" t="s">
        <v>468</v>
      </c>
      <c r="AC9" s="110" t="s">
        <v>448</v>
      </c>
      <c r="AD9" s="110" t="s">
        <v>468</v>
      </c>
      <c r="AE9" s="110"/>
      <c r="AF9" s="110" t="s">
        <v>19</v>
      </c>
      <c r="AG9" s="110" t="s">
        <v>19</v>
      </c>
      <c r="AH9" s="110" t="s">
        <v>19</v>
      </c>
      <c r="AI9" s="79"/>
      <c r="AJ9" s="80"/>
      <c r="AK9" s="80"/>
      <c r="AL9" s="81"/>
    </row>
    <row r="10" spans="2:42" s="2" customFormat="1" ht="18" customHeight="1">
      <c r="B10" s="705"/>
      <c r="C10" s="34" t="s">
        <v>2</v>
      </c>
      <c r="D10" s="34"/>
      <c r="E10" s="34"/>
      <c r="F10" s="9"/>
      <c r="G10" s="923"/>
      <c r="H10" s="923"/>
      <c r="I10" s="923"/>
      <c r="J10" s="923"/>
      <c r="K10" s="923"/>
      <c r="L10" s="34" t="s">
        <v>28</v>
      </c>
      <c r="M10" s="34"/>
      <c r="N10" s="923"/>
      <c r="O10" s="923"/>
      <c r="P10" s="923"/>
      <c r="Q10" s="923"/>
      <c r="R10" s="923"/>
      <c r="S10" s="923"/>
      <c r="T10" s="923"/>
      <c r="U10" s="928"/>
      <c r="V10" s="921"/>
      <c r="W10" s="930" t="s">
        <v>538</v>
      </c>
      <c r="X10" s="931"/>
      <c r="Y10" s="897" t="s">
        <v>49</v>
      </c>
      <c r="Z10" s="874" t="s">
        <v>64</v>
      </c>
      <c r="AA10" s="874" t="s">
        <v>50</v>
      </c>
      <c r="AB10" s="874" t="s">
        <v>63</v>
      </c>
      <c r="AC10" s="874" t="s">
        <v>52</v>
      </c>
      <c r="AD10" s="874" t="s">
        <v>51</v>
      </c>
      <c r="AE10" s="874"/>
      <c r="AF10" s="874"/>
      <c r="AG10" s="874"/>
      <c r="AH10" s="877"/>
      <c r="AI10" s="17"/>
      <c r="AJ10" s="17"/>
      <c r="AK10" s="17"/>
      <c r="AL10" s="82"/>
      <c r="AP10" s="29"/>
    </row>
    <row r="11" spans="2:42" s="2" customFormat="1" ht="18" customHeight="1">
      <c r="B11" s="705"/>
      <c r="C11" s="900"/>
      <c r="D11" s="836"/>
      <c r="E11" s="836"/>
      <c r="F11" s="836"/>
      <c r="G11" s="836"/>
      <c r="H11" s="836"/>
      <c r="I11" s="836"/>
      <c r="J11" s="836"/>
      <c r="K11" s="836"/>
      <c r="L11" s="924"/>
      <c r="M11" s="924"/>
      <c r="N11" s="924"/>
      <c r="O11" s="924"/>
      <c r="P11" s="924"/>
      <c r="Q11" s="924"/>
      <c r="R11" s="924"/>
      <c r="S11" s="924"/>
      <c r="T11" s="924"/>
      <c r="U11" s="925"/>
      <c r="V11" s="921"/>
      <c r="W11" s="870" t="s">
        <v>22</v>
      </c>
      <c r="X11" s="871"/>
      <c r="Y11" s="898"/>
      <c r="Z11" s="875"/>
      <c r="AA11" s="875"/>
      <c r="AB11" s="875"/>
      <c r="AC11" s="875"/>
      <c r="AD11" s="875"/>
      <c r="AE11" s="875"/>
      <c r="AF11" s="875"/>
      <c r="AG11" s="875"/>
      <c r="AH11" s="878"/>
      <c r="AI11" s="17"/>
      <c r="AJ11" s="17"/>
      <c r="AK11" s="17"/>
      <c r="AL11" s="82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23"/>
      <c r="H12" s="923"/>
      <c r="I12" s="923"/>
      <c r="J12" s="923"/>
      <c r="K12" s="923"/>
      <c r="L12" s="34" t="s">
        <v>4</v>
      </c>
      <c r="M12" s="34"/>
      <c r="N12" s="34"/>
      <c r="O12" s="923"/>
      <c r="P12" s="923"/>
      <c r="Q12" s="923"/>
      <c r="R12" s="923"/>
      <c r="S12" s="923"/>
      <c r="T12" s="923"/>
      <c r="U12" s="928"/>
      <c r="V12" s="921"/>
      <c r="W12" s="870" t="s">
        <v>23</v>
      </c>
      <c r="X12" s="871"/>
      <c r="Y12" s="898"/>
      <c r="Z12" s="875"/>
      <c r="AA12" s="875"/>
      <c r="AB12" s="875"/>
      <c r="AC12" s="875"/>
      <c r="AD12" s="875"/>
      <c r="AE12" s="875"/>
      <c r="AF12" s="875"/>
      <c r="AG12" s="875"/>
      <c r="AH12" s="878"/>
      <c r="AI12" s="17"/>
      <c r="AJ12" s="17"/>
      <c r="AK12" s="17"/>
      <c r="AL12" s="82"/>
      <c r="AP12" s="29"/>
    </row>
    <row r="13" spans="2:42" s="2" customFormat="1" ht="18" customHeight="1" thickBot="1">
      <c r="B13" s="706"/>
      <c r="C13" s="929"/>
      <c r="D13" s="758"/>
      <c r="E13" s="758"/>
      <c r="F13" s="758"/>
      <c r="G13" s="758"/>
      <c r="H13" s="758"/>
      <c r="I13" s="758"/>
      <c r="J13" s="758"/>
      <c r="K13" s="758"/>
      <c r="L13" s="63" t="s">
        <v>29</v>
      </c>
      <c r="M13" s="63"/>
      <c r="N13" s="901"/>
      <c r="O13" s="901"/>
      <c r="P13" s="901"/>
      <c r="Q13" s="901"/>
      <c r="R13" s="901"/>
      <c r="S13" s="901"/>
      <c r="T13" s="901"/>
      <c r="U13" s="902"/>
      <c r="V13" s="921"/>
      <c r="W13" s="882"/>
      <c r="X13" s="883"/>
      <c r="Y13" s="898"/>
      <c r="Z13" s="875"/>
      <c r="AA13" s="875"/>
      <c r="AB13" s="875"/>
      <c r="AC13" s="875"/>
      <c r="AD13" s="875"/>
      <c r="AE13" s="875"/>
      <c r="AF13" s="875"/>
      <c r="AG13" s="875"/>
      <c r="AH13" s="878"/>
      <c r="AI13" s="17"/>
      <c r="AJ13" s="17"/>
      <c r="AK13" s="17"/>
      <c r="AL13" s="82"/>
      <c r="AP13" s="29"/>
    </row>
    <row r="14" spans="2:42" s="6" customFormat="1" ht="40.15" customHeight="1">
      <c r="B14" s="707" t="s">
        <v>536</v>
      </c>
      <c r="C14" s="907" t="s">
        <v>34</v>
      </c>
      <c r="D14" s="908"/>
      <c r="E14" s="908"/>
      <c r="F14" s="873" t="s">
        <v>5</v>
      </c>
      <c r="G14" s="873"/>
      <c r="H14" s="873"/>
      <c r="I14" s="873"/>
      <c r="J14" s="873"/>
      <c r="K14" s="873"/>
      <c r="L14" s="873"/>
      <c r="M14" s="872" t="s">
        <v>61</v>
      </c>
      <c r="N14" s="873"/>
      <c r="O14" s="873"/>
      <c r="P14" s="872" t="s">
        <v>57</v>
      </c>
      <c r="Q14" s="873"/>
      <c r="R14" s="873"/>
      <c r="S14" s="797" t="s">
        <v>27</v>
      </c>
      <c r="T14" s="798"/>
      <c r="U14" s="799"/>
      <c r="V14" s="922"/>
      <c r="W14" s="884"/>
      <c r="X14" s="885"/>
      <c r="Y14" s="899"/>
      <c r="Z14" s="876"/>
      <c r="AA14" s="876"/>
      <c r="AB14" s="876"/>
      <c r="AC14" s="876"/>
      <c r="AD14" s="876"/>
      <c r="AE14" s="876"/>
      <c r="AF14" s="876"/>
      <c r="AG14" s="876"/>
      <c r="AH14" s="879"/>
      <c r="AI14" s="763" t="s">
        <v>40</v>
      </c>
      <c r="AJ14" s="764"/>
      <c r="AK14" s="764"/>
      <c r="AL14" s="765"/>
    </row>
    <row r="15" spans="2:42" s="17" customFormat="1" ht="19.899999999999999" customHeight="1">
      <c r="B15" s="705"/>
      <c r="C15" s="905"/>
      <c r="D15" s="906"/>
      <c r="E15" s="906"/>
      <c r="F15" s="909"/>
      <c r="G15" s="909"/>
      <c r="H15" s="909"/>
      <c r="I15" s="909"/>
      <c r="J15" s="909"/>
      <c r="K15" s="909"/>
      <c r="L15" s="909"/>
      <c r="M15" s="880"/>
      <c r="N15" s="880"/>
      <c r="O15" s="880"/>
      <c r="P15" s="880"/>
      <c r="Q15" s="880"/>
      <c r="R15" s="880"/>
      <c r="S15" s="880" t="s">
        <v>65</v>
      </c>
      <c r="T15" s="880"/>
      <c r="U15" s="880"/>
      <c r="V15" s="16"/>
      <c r="W15" s="880"/>
      <c r="X15" s="881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6"/>
      <c r="AJ15" s="766"/>
      <c r="AK15" s="766"/>
      <c r="AL15" s="767"/>
    </row>
    <row r="16" spans="2:42" s="17" customFormat="1" ht="19.899999999999999" customHeight="1">
      <c r="B16" s="705"/>
      <c r="C16" s="905"/>
      <c r="D16" s="906"/>
      <c r="E16" s="906"/>
      <c r="F16" s="932"/>
      <c r="G16" s="933"/>
      <c r="H16" s="933"/>
      <c r="I16" s="933"/>
      <c r="J16" s="933"/>
      <c r="K16" s="933"/>
      <c r="L16" s="934"/>
      <c r="M16" s="880"/>
      <c r="N16" s="880"/>
      <c r="O16" s="880"/>
      <c r="P16" s="880"/>
      <c r="Q16" s="880"/>
      <c r="R16" s="880"/>
      <c r="S16" s="880" t="s">
        <v>65</v>
      </c>
      <c r="T16" s="880"/>
      <c r="U16" s="880"/>
      <c r="V16" s="16"/>
      <c r="W16" s="880"/>
      <c r="X16" s="881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6"/>
      <c r="AJ16" s="766"/>
      <c r="AK16" s="766"/>
      <c r="AL16" s="767"/>
    </row>
    <row r="17" spans="2:38" s="6" customFormat="1" ht="19.899999999999999" customHeight="1">
      <c r="B17" s="705"/>
      <c r="C17" s="905"/>
      <c r="D17" s="906"/>
      <c r="E17" s="906"/>
      <c r="F17" s="909"/>
      <c r="G17" s="909"/>
      <c r="H17" s="909"/>
      <c r="I17" s="909"/>
      <c r="J17" s="909"/>
      <c r="K17" s="909"/>
      <c r="L17" s="909"/>
      <c r="M17" s="880"/>
      <c r="N17" s="880"/>
      <c r="O17" s="880"/>
      <c r="P17" s="880"/>
      <c r="Q17" s="880"/>
      <c r="R17" s="880"/>
      <c r="S17" s="880" t="s">
        <v>65</v>
      </c>
      <c r="T17" s="880"/>
      <c r="U17" s="880"/>
      <c r="V17" s="16"/>
      <c r="W17" s="880"/>
      <c r="X17" s="881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6"/>
      <c r="AJ17" s="766"/>
      <c r="AK17" s="766"/>
      <c r="AL17" s="767"/>
    </row>
    <row r="18" spans="2:38" s="6" customFormat="1" ht="19.899999999999999" customHeight="1">
      <c r="B18" s="705"/>
      <c r="C18" s="905"/>
      <c r="D18" s="906"/>
      <c r="E18" s="906"/>
      <c r="F18" s="909"/>
      <c r="G18" s="909"/>
      <c r="H18" s="909"/>
      <c r="I18" s="909"/>
      <c r="J18" s="909"/>
      <c r="K18" s="909"/>
      <c r="L18" s="909"/>
      <c r="M18" s="880"/>
      <c r="N18" s="880"/>
      <c r="O18" s="880"/>
      <c r="P18" s="880"/>
      <c r="Q18" s="880"/>
      <c r="R18" s="880"/>
      <c r="S18" s="880" t="s">
        <v>65</v>
      </c>
      <c r="T18" s="880"/>
      <c r="U18" s="880"/>
      <c r="V18" s="16"/>
      <c r="W18" s="880"/>
      <c r="X18" s="881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6"/>
      <c r="AJ18" s="766"/>
      <c r="AK18" s="766"/>
      <c r="AL18" s="767"/>
    </row>
    <row r="19" spans="2:38" s="6" customFormat="1" ht="19.899999999999999" customHeight="1">
      <c r="B19" s="705"/>
      <c r="C19" s="905"/>
      <c r="D19" s="906"/>
      <c r="E19" s="906"/>
      <c r="F19" s="909"/>
      <c r="G19" s="909"/>
      <c r="H19" s="909"/>
      <c r="I19" s="909"/>
      <c r="J19" s="909"/>
      <c r="K19" s="909"/>
      <c r="L19" s="909"/>
      <c r="M19" s="880"/>
      <c r="N19" s="880"/>
      <c r="O19" s="880"/>
      <c r="P19" s="880"/>
      <c r="Q19" s="880"/>
      <c r="R19" s="880"/>
      <c r="S19" s="880" t="s">
        <v>65</v>
      </c>
      <c r="T19" s="880"/>
      <c r="U19" s="880"/>
      <c r="V19" s="16"/>
      <c r="W19" s="880"/>
      <c r="X19" s="881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6"/>
      <c r="AJ19" s="766"/>
      <c r="AK19" s="766"/>
      <c r="AL19" s="767"/>
    </row>
    <row r="20" spans="2:38" s="6" customFormat="1" ht="19.899999999999999" customHeight="1">
      <c r="B20" s="705"/>
      <c r="C20" s="905"/>
      <c r="D20" s="906"/>
      <c r="E20" s="906"/>
      <c r="F20" s="909"/>
      <c r="G20" s="909"/>
      <c r="H20" s="909"/>
      <c r="I20" s="909"/>
      <c r="J20" s="909"/>
      <c r="K20" s="909"/>
      <c r="L20" s="909"/>
      <c r="M20" s="880"/>
      <c r="N20" s="880"/>
      <c r="O20" s="880"/>
      <c r="P20" s="880"/>
      <c r="Q20" s="880"/>
      <c r="R20" s="880"/>
      <c r="S20" s="880" t="s">
        <v>65</v>
      </c>
      <c r="T20" s="880"/>
      <c r="U20" s="880"/>
      <c r="V20" s="16"/>
      <c r="W20" s="880"/>
      <c r="X20" s="881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6"/>
      <c r="AJ20" s="766"/>
      <c r="AK20" s="766"/>
      <c r="AL20" s="767"/>
    </row>
    <row r="21" spans="2:38" s="6" customFormat="1" ht="19.899999999999999" customHeight="1">
      <c r="B21" s="705"/>
      <c r="C21" s="905"/>
      <c r="D21" s="906"/>
      <c r="E21" s="906"/>
      <c r="F21" s="909"/>
      <c r="G21" s="909"/>
      <c r="H21" s="909"/>
      <c r="I21" s="909"/>
      <c r="J21" s="909"/>
      <c r="K21" s="909"/>
      <c r="L21" s="909"/>
      <c r="M21" s="880"/>
      <c r="N21" s="880"/>
      <c r="O21" s="880"/>
      <c r="P21" s="880"/>
      <c r="Q21" s="880"/>
      <c r="R21" s="880"/>
      <c r="S21" s="880" t="s">
        <v>65</v>
      </c>
      <c r="T21" s="880"/>
      <c r="U21" s="880"/>
      <c r="V21" s="16"/>
      <c r="W21" s="880"/>
      <c r="X21" s="881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6"/>
      <c r="AJ21" s="766"/>
      <c r="AK21" s="766"/>
      <c r="AL21" s="767"/>
    </row>
    <row r="22" spans="2:38" s="6" customFormat="1" ht="19.899999999999999" customHeight="1">
      <c r="B22" s="705"/>
      <c r="C22" s="905"/>
      <c r="D22" s="906"/>
      <c r="E22" s="906"/>
      <c r="F22" s="909"/>
      <c r="G22" s="909"/>
      <c r="H22" s="909"/>
      <c r="I22" s="909"/>
      <c r="J22" s="909"/>
      <c r="K22" s="909"/>
      <c r="L22" s="909"/>
      <c r="M22" s="880"/>
      <c r="N22" s="880"/>
      <c r="O22" s="880"/>
      <c r="P22" s="880"/>
      <c r="Q22" s="880"/>
      <c r="R22" s="880"/>
      <c r="S22" s="880" t="s">
        <v>65</v>
      </c>
      <c r="T22" s="880"/>
      <c r="U22" s="880"/>
      <c r="V22" s="16"/>
      <c r="W22" s="880"/>
      <c r="X22" s="881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6"/>
      <c r="AJ22" s="766"/>
      <c r="AK22" s="766"/>
      <c r="AL22" s="767"/>
    </row>
    <row r="23" spans="2:38" s="6" customFormat="1" ht="19.899999999999999" customHeight="1">
      <c r="B23" s="705"/>
      <c r="C23" s="905"/>
      <c r="D23" s="906"/>
      <c r="E23" s="906"/>
      <c r="F23" s="909"/>
      <c r="G23" s="909"/>
      <c r="H23" s="909"/>
      <c r="I23" s="909"/>
      <c r="J23" s="909"/>
      <c r="K23" s="909"/>
      <c r="L23" s="909"/>
      <c r="M23" s="880"/>
      <c r="N23" s="880"/>
      <c r="O23" s="880"/>
      <c r="P23" s="880"/>
      <c r="Q23" s="880"/>
      <c r="R23" s="880"/>
      <c r="S23" s="880" t="s">
        <v>65</v>
      </c>
      <c r="T23" s="880"/>
      <c r="U23" s="880"/>
      <c r="V23" s="16"/>
      <c r="W23" s="880"/>
      <c r="X23" s="881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6"/>
      <c r="AJ23" s="766"/>
      <c r="AK23" s="766"/>
      <c r="AL23" s="767"/>
    </row>
    <row r="24" spans="2:38" s="6" customFormat="1" ht="19.899999999999999" customHeight="1" thickBot="1">
      <c r="B24" s="706"/>
      <c r="C24" s="935"/>
      <c r="D24" s="936"/>
      <c r="E24" s="936"/>
      <c r="F24" s="937"/>
      <c r="G24" s="937"/>
      <c r="H24" s="937"/>
      <c r="I24" s="937"/>
      <c r="J24" s="937"/>
      <c r="K24" s="937"/>
      <c r="L24" s="937"/>
      <c r="M24" s="938"/>
      <c r="N24" s="938"/>
      <c r="O24" s="938"/>
      <c r="P24" s="938"/>
      <c r="Q24" s="938"/>
      <c r="R24" s="938"/>
      <c r="S24" s="938" t="s">
        <v>65</v>
      </c>
      <c r="T24" s="938"/>
      <c r="U24" s="938"/>
      <c r="V24" s="78"/>
      <c r="W24" s="938"/>
      <c r="X24" s="939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71"/>
      <c r="AJ24" s="771"/>
      <c r="AK24" s="771"/>
      <c r="AL24" s="772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4" t="s">
        <v>539</v>
      </c>
      <c r="AB25" s="965"/>
      <c r="AC25" s="895" t="s">
        <v>542</v>
      </c>
      <c r="AD25" s="895"/>
      <c r="AE25" s="895"/>
      <c r="AF25" s="896"/>
      <c r="AG25" s="966" t="s">
        <v>45</v>
      </c>
      <c r="AH25" s="895"/>
      <c r="AI25" s="895"/>
      <c r="AJ25" s="895"/>
      <c r="AK25" s="895"/>
      <c r="AL25" s="967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42" t="s">
        <v>32</v>
      </c>
      <c r="AB26" s="943"/>
      <c r="AC26" s="943"/>
      <c r="AD26" s="943"/>
      <c r="AE26" s="943"/>
      <c r="AF26" s="944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45"/>
      <c r="AB27" s="946"/>
      <c r="AC27" s="946"/>
      <c r="AD27" s="946"/>
      <c r="AE27" s="946"/>
      <c r="AF27" s="947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8" t="s">
        <v>44</v>
      </c>
      <c r="AB32" s="949"/>
      <c r="AC32" s="949"/>
      <c r="AD32" s="949"/>
      <c r="AE32" s="949"/>
      <c r="AF32" s="950"/>
      <c r="AG32" s="954" t="s">
        <v>13</v>
      </c>
      <c r="AH32" s="955"/>
      <c r="AI32" s="955"/>
      <c r="AJ32" s="955"/>
      <c r="AK32" s="955"/>
      <c r="AL32" s="956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51"/>
      <c r="AB33" s="952"/>
      <c r="AC33" s="952"/>
      <c r="AD33" s="952"/>
      <c r="AE33" s="952"/>
      <c r="AF33" s="953"/>
      <c r="AG33" s="957"/>
      <c r="AH33" s="958"/>
      <c r="AI33" s="958"/>
      <c r="AJ33" s="958"/>
      <c r="AK33" s="958"/>
      <c r="AL33" s="959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60" t="s">
        <v>43</v>
      </c>
      <c r="AB34" s="961"/>
      <c r="AC34" s="961"/>
      <c r="AD34" s="961"/>
      <c r="AE34" s="961"/>
      <c r="AF34" s="962"/>
      <c r="AG34" s="957" t="s">
        <v>47</v>
      </c>
      <c r="AH34" s="958"/>
      <c r="AI34" s="958"/>
      <c r="AJ34" s="958"/>
      <c r="AK34" s="958"/>
      <c r="AL34" s="959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60"/>
      <c r="AB35" s="961"/>
      <c r="AC35" s="961"/>
      <c r="AD35" s="961"/>
      <c r="AE35" s="961"/>
      <c r="AF35" s="962"/>
      <c r="AG35" s="957"/>
      <c r="AH35" s="958"/>
      <c r="AI35" s="958"/>
      <c r="AJ35" s="958"/>
      <c r="AK35" s="958"/>
      <c r="AL35" s="959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63" t="s">
        <v>31</v>
      </c>
      <c r="AB36" s="940"/>
      <c r="AC36" s="940"/>
      <c r="AD36" s="940"/>
      <c r="AE36" s="940"/>
      <c r="AF36" s="941"/>
      <c r="AG36" s="940" t="s">
        <v>31</v>
      </c>
      <c r="AH36" s="940"/>
      <c r="AI36" s="940"/>
      <c r="AJ36" s="940"/>
      <c r="AK36" s="940"/>
      <c r="AL36" s="941"/>
    </row>
    <row r="37" spans="2:39" s="8" customFormat="1" ht="12" customHeight="1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49"/>
      <c r="T37" s="49"/>
      <c r="U37" s="49"/>
      <c r="V37" s="49"/>
      <c r="W37" s="49"/>
      <c r="X37" s="49"/>
      <c r="Y37" s="49"/>
      <c r="Z37" s="49"/>
      <c r="AA37" s="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</row>
    <row r="38" spans="2:39" s="8" customFormat="1" ht="12" customHeight="1">
      <c r="C38" s="20" t="s">
        <v>46</v>
      </c>
      <c r="D38" s="9" t="s">
        <v>59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73"/>
      <c r="U38" s="9"/>
      <c r="V38" s="34"/>
      <c r="W38" s="9"/>
      <c r="X38" s="9"/>
      <c r="Y38" s="34"/>
      <c r="Z38" s="34"/>
      <c r="AA38" s="839" t="s">
        <v>533</v>
      </c>
      <c r="AB38" s="839"/>
      <c r="AC38" s="839"/>
      <c r="AD38" s="839"/>
      <c r="AE38" s="839"/>
      <c r="AF38" s="839"/>
      <c r="AG38" s="34"/>
      <c r="AH38" s="34"/>
      <c r="AI38" s="34"/>
      <c r="AJ38" s="34"/>
      <c r="AK38" s="34"/>
      <c r="AL38" s="74"/>
    </row>
    <row r="39" spans="2:39" s="8" customFormat="1" ht="12" customHeight="1">
      <c r="C39" s="20" t="s">
        <v>46</v>
      </c>
      <c r="D39" s="34" t="s">
        <v>60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34"/>
      <c r="X39" s="9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74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M23:O23"/>
    <mergeCell ref="P23:R23"/>
    <mergeCell ref="S23:U23"/>
    <mergeCell ref="W23:X23"/>
    <mergeCell ref="M20:O20"/>
    <mergeCell ref="P20:R20"/>
    <mergeCell ref="AG36:AL36"/>
    <mergeCell ref="AA26:AF27"/>
    <mergeCell ref="AA32:AF33"/>
    <mergeCell ref="AG32:AL33"/>
    <mergeCell ref="AA34:AF35"/>
    <mergeCell ref="AG34:AL35"/>
    <mergeCell ref="AA36:AF36"/>
    <mergeCell ref="AI24:AL24"/>
    <mergeCell ref="AI20:AL20"/>
    <mergeCell ref="AI21:AL21"/>
    <mergeCell ref="AI22:AL22"/>
    <mergeCell ref="AA25:AB25"/>
    <mergeCell ref="AG25:AL25"/>
    <mergeCell ref="AI23:AL23"/>
    <mergeCell ref="S18:U18"/>
    <mergeCell ref="W18:X18"/>
    <mergeCell ref="W21:X21"/>
    <mergeCell ref="C24:E24"/>
    <mergeCell ref="F24:L24"/>
    <mergeCell ref="M24:O24"/>
    <mergeCell ref="P24:R24"/>
    <mergeCell ref="S24:U24"/>
    <mergeCell ref="W24:X24"/>
    <mergeCell ref="C23:E23"/>
    <mergeCell ref="F23:L23"/>
    <mergeCell ref="M21:O21"/>
    <mergeCell ref="P21:R21"/>
    <mergeCell ref="S21:U21"/>
    <mergeCell ref="W20:X20"/>
    <mergeCell ref="C22:E22"/>
    <mergeCell ref="F22:L22"/>
    <mergeCell ref="M22:O22"/>
    <mergeCell ref="P22:R22"/>
    <mergeCell ref="S22:U22"/>
    <mergeCell ref="W22:X22"/>
    <mergeCell ref="C21:E21"/>
    <mergeCell ref="F21:L21"/>
    <mergeCell ref="C16:E16"/>
    <mergeCell ref="F16:L16"/>
    <mergeCell ref="M16:O16"/>
    <mergeCell ref="P17:R17"/>
    <mergeCell ref="P16:R16"/>
    <mergeCell ref="AI19:AL19"/>
    <mergeCell ref="C20:E20"/>
    <mergeCell ref="F20:L20"/>
    <mergeCell ref="AI18:AL18"/>
    <mergeCell ref="C17:E17"/>
    <mergeCell ref="F17:L17"/>
    <mergeCell ref="C18:E18"/>
    <mergeCell ref="F18:L18"/>
    <mergeCell ref="M18:O18"/>
    <mergeCell ref="AI17:AL17"/>
    <mergeCell ref="C19:E19"/>
    <mergeCell ref="F19:L19"/>
    <mergeCell ref="M19:O19"/>
    <mergeCell ref="P19:R19"/>
    <mergeCell ref="S19:U19"/>
    <mergeCell ref="W19:X19"/>
    <mergeCell ref="S20:U20"/>
    <mergeCell ref="W17:X17"/>
    <mergeCell ref="P18:R18"/>
    <mergeCell ref="AF1:AJ1"/>
    <mergeCell ref="P2:AA2"/>
    <mergeCell ref="AF6:AK6"/>
    <mergeCell ref="P4:AA4"/>
    <mergeCell ref="P3:AA3"/>
    <mergeCell ref="F9:K9"/>
    <mergeCell ref="O9:U9"/>
    <mergeCell ref="O8:U8"/>
    <mergeCell ref="V8:X8"/>
    <mergeCell ref="L9:N9"/>
    <mergeCell ref="V9:V14"/>
    <mergeCell ref="G10:K10"/>
    <mergeCell ref="L11:U11"/>
    <mergeCell ref="W9:X9"/>
    <mergeCell ref="AC10:AC14"/>
    <mergeCell ref="G12:K12"/>
    <mergeCell ref="O12:U12"/>
    <mergeCell ref="C13:K13"/>
    <mergeCell ref="W10:X10"/>
    <mergeCell ref="N10:U10"/>
    <mergeCell ref="Z10:Z14"/>
    <mergeCell ref="M14:O14"/>
    <mergeCell ref="AE10:AE14"/>
    <mergeCell ref="W12:X12"/>
    <mergeCell ref="B7:B13"/>
    <mergeCell ref="B14:B24"/>
    <mergeCell ref="B25:B36"/>
    <mergeCell ref="V7:AH7"/>
    <mergeCell ref="C7:E7"/>
    <mergeCell ref="F7:U7"/>
    <mergeCell ref="F8:K8"/>
    <mergeCell ref="Z8:AG8"/>
    <mergeCell ref="AC25:AF25"/>
    <mergeCell ref="Y10:Y14"/>
    <mergeCell ref="F14:L14"/>
    <mergeCell ref="C11:K11"/>
    <mergeCell ref="AA10:AA14"/>
    <mergeCell ref="N13:U13"/>
    <mergeCell ref="C9:E9"/>
    <mergeCell ref="C15:E15"/>
    <mergeCell ref="C14:E14"/>
    <mergeCell ref="F15:L15"/>
    <mergeCell ref="S15:U15"/>
    <mergeCell ref="S17:U17"/>
    <mergeCell ref="M15:O15"/>
    <mergeCell ref="P15:R15"/>
    <mergeCell ref="S16:U16"/>
    <mergeCell ref="M17:O17"/>
    <mergeCell ref="AI7:AL8"/>
    <mergeCell ref="W11:X11"/>
    <mergeCell ref="P14:R14"/>
    <mergeCell ref="AG10:AG14"/>
    <mergeCell ref="AH10:AH14"/>
    <mergeCell ref="AD10:AD14"/>
    <mergeCell ref="S14:U14"/>
    <mergeCell ref="W15:X15"/>
    <mergeCell ref="AI16:AL16"/>
    <mergeCell ref="W13:X14"/>
    <mergeCell ref="W16:X16"/>
    <mergeCell ref="AI14:AL14"/>
    <mergeCell ref="AB10:AB14"/>
    <mergeCell ref="AI15:AL15"/>
    <mergeCell ref="AF10:AF14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&amp;RF083-Kit_Request_and_COC_Templates-WW
Revised 2013-03-24</oddFooter>
  </headerFooter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6" t="s">
        <v>15</v>
      </c>
      <c r="AG1" s="776"/>
      <c r="AH1" s="776"/>
      <c r="AI1" s="776"/>
      <c r="AJ1" s="910"/>
    </row>
    <row r="2" spans="2:42" s="8" customFormat="1" ht="15" customHeight="1">
      <c r="K2" s="11"/>
      <c r="L2" s="11"/>
      <c r="M2" s="11"/>
      <c r="N2" s="11"/>
      <c r="O2" s="11"/>
      <c r="P2" s="800" t="s">
        <v>30</v>
      </c>
      <c r="Q2" s="800"/>
      <c r="R2" s="800"/>
      <c r="S2" s="800"/>
      <c r="T2" s="800"/>
      <c r="U2" s="800"/>
      <c r="V2" s="800"/>
      <c r="W2" s="800"/>
      <c r="X2" s="800"/>
      <c r="Y2" s="800"/>
      <c r="Z2" s="800"/>
      <c r="AA2" s="800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800" t="s">
        <v>14</v>
      </c>
      <c r="Q3" s="800"/>
      <c r="R3" s="800"/>
      <c r="S3" s="800"/>
      <c r="T3" s="800"/>
      <c r="U3" s="800"/>
      <c r="V3" s="800"/>
      <c r="W3" s="800"/>
      <c r="X3" s="800"/>
      <c r="Y3" s="800"/>
      <c r="Z3" s="800"/>
      <c r="AA3" s="800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1" t="s">
        <v>463</v>
      </c>
      <c r="Q4" s="911"/>
      <c r="R4" s="911"/>
      <c r="S4" s="911"/>
      <c r="T4" s="911"/>
      <c r="U4" s="911"/>
      <c r="V4" s="911"/>
      <c r="W4" s="911"/>
      <c r="X4" s="911"/>
      <c r="Y4" s="911"/>
      <c r="Z4" s="911"/>
      <c r="AA4" s="911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8" t="s">
        <v>24</v>
      </c>
      <c r="AG6" s="778"/>
      <c r="AH6" s="778"/>
      <c r="AI6" s="779"/>
      <c r="AJ6" s="779"/>
      <c r="AK6" s="779"/>
      <c r="AL6" s="15"/>
    </row>
    <row r="7" spans="2:42" s="2" customFormat="1" ht="34.9" customHeight="1" thickTop="1" thickBot="1">
      <c r="B7" s="707" t="s">
        <v>535</v>
      </c>
      <c r="C7" s="973" t="s">
        <v>0</v>
      </c>
      <c r="D7" s="974"/>
      <c r="E7" s="974"/>
      <c r="F7" s="989"/>
      <c r="G7" s="990"/>
      <c r="H7" s="990"/>
      <c r="I7" s="990"/>
      <c r="J7" s="990"/>
      <c r="K7" s="990"/>
      <c r="L7" s="990"/>
      <c r="M7" s="990"/>
      <c r="N7" s="990"/>
      <c r="O7" s="990"/>
      <c r="P7" s="990"/>
      <c r="Q7" s="990"/>
      <c r="R7" s="990"/>
      <c r="S7" s="990"/>
      <c r="T7" s="990"/>
      <c r="U7" s="991"/>
      <c r="V7" s="968" t="s">
        <v>544</v>
      </c>
      <c r="W7" s="969"/>
      <c r="X7" s="969"/>
      <c r="Y7" s="969"/>
      <c r="Z7" s="969"/>
      <c r="AA7" s="969"/>
      <c r="AB7" s="969"/>
      <c r="AC7" s="969"/>
      <c r="AD7" s="969"/>
      <c r="AE7" s="969"/>
      <c r="AF7" s="969"/>
      <c r="AG7" s="969"/>
      <c r="AH7" s="970"/>
      <c r="AI7" s="985" t="s">
        <v>48</v>
      </c>
      <c r="AJ7" s="781"/>
      <c r="AK7" s="781"/>
      <c r="AL7" s="782"/>
    </row>
    <row r="8" spans="2:42" s="2" customFormat="1" ht="34.9" customHeight="1" thickBot="1">
      <c r="B8" s="705"/>
      <c r="C8" s="33" t="s">
        <v>1</v>
      </c>
      <c r="D8" s="33"/>
      <c r="E8" s="33"/>
      <c r="F8" s="893"/>
      <c r="G8" s="893"/>
      <c r="H8" s="893"/>
      <c r="I8" s="893"/>
      <c r="J8" s="893"/>
      <c r="K8" s="893"/>
      <c r="L8" s="5" t="s">
        <v>20</v>
      </c>
      <c r="M8" s="33"/>
      <c r="N8" s="33"/>
      <c r="O8" s="914"/>
      <c r="P8" s="914"/>
      <c r="Q8" s="914"/>
      <c r="R8" s="914"/>
      <c r="S8" s="914"/>
      <c r="T8" s="914"/>
      <c r="U8" s="988"/>
      <c r="V8" s="971" t="s">
        <v>537</v>
      </c>
      <c r="W8" s="972"/>
      <c r="X8" s="972"/>
      <c r="Y8" s="106"/>
      <c r="Z8" s="894" t="s">
        <v>85</v>
      </c>
      <c r="AA8" s="894"/>
      <c r="AB8" s="894"/>
      <c r="AC8" s="894"/>
      <c r="AD8" s="894"/>
      <c r="AE8" s="894"/>
      <c r="AF8" s="894"/>
      <c r="AG8" s="894"/>
      <c r="AH8" s="106"/>
      <c r="AI8" s="783"/>
      <c r="AJ8" s="783"/>
      <c r="AK8" s="783"/>
      <c r="AL8" s="784"/>
    </row>
    <row r="9" spans="2:42" s="2" customFormat="1" ht="40.15" customHeight="1">
      <c r="B9" s="705"/>
      <c r="C9" s="904" t="s">
        <v>37</v>
      </c>
      <c r="D9" s="904"/>
      <c r="E9" s="904"/>
      <c r="F9" s="893"/>
      <c r="G9" s="893"/>
      <c r="H9" s="893"/>
      <c r="I9" s="893"/>
      <c r="J9" s="893"/>
      <c r="K9" s="893"/>
      <c r="L9" s="919" t="s">
        <v>38</v>
      </c>
      <c r="M9" s="986"/>
      <c r="N9" s="986"/>
      <c r="O9" s="914"/>
      <c r="P9" s="914"/>
      <c r="Q9" s="914"/>
      <c r="R9" s="914"/>
      <c r="S9" s="914"/>
      <c r="T9" s="914"/>
      <c r="U9" s="988"/>
      <c r="V9" s="920" t="s">
        <v>58</v>
      </c>
      <c r="W9" s="992"/>
      <c r="X9" s="993"/>
      <c r="Y9" s="111" t="s">
        <v>468</v>
      </c>
      <c r="Z9" s="109" t="s">
        <v>468</v>
      </c>
      <c r="AA9" s="109" t="s">
        <v>444</v>
      </c>
      <c r="AB9" s="109" t="s">
        <v>446</v>
      </c>
      <c r="AC9" s="109" t="s">
        <v>444</v>
      </c>
      <c r="AD9" s="109" t="s">
        <v>468</v>
      </c>
      <c r="AE9" s="109" t="s">
        <v>284</v>
      </c>
      <c r="AF9" s="109" t="s">
        <v>251</v>
      </c>
      <c r="AG9" s="109"/>
      <c r="AH9" s="109" t="s">
        <v>19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923"/>
      <c r="H10" s="923"/>
      <c r="I10" s="923"/>
      <c r="J10" s="923"/>
      <c r="K10" s="923"/>
      <c r="L10" s="34" t="s">
        <v>28</v>
      </c>
      <c r="M10" s="34"/>
      <c r="N10" s="923"/>
      <c r="O10" s="923"/>
      <c r="P10" s="923"/>
      <c r="Q10" s="923"/>
      <c r="R10" s="923"/>
      <c r="S10" s="923"/>
      <c r="T10" s="923"/>
      <c r="U10" s="983"/>
      <c r="V10" s="852"/>
      <c r="W10" s="930" t="s">
        <v>35</v>
      </c>
      <c r="X10" s="931"/>
      <c r="Y10" s="897" t="s">
        <v>53</v>
      </c>
      <c r="Z10" s="874" t="s">
        <v>474</v>
      </c>
      <c r="AA10" s="874" t="s">
        <v>469</v>
      </c>
      <c r="AB10" s="874" t="s">
        <v>470</v>
      </c>
      <c r="AC10" s="874" t="s">
        <v>530</v>
      </c>
      <c r="AD10" s="874" t="s">
        <v>471</v>
      </c>
      <c r="AE10" s="977" t="s">
        <v>531</v>
      </c>
      <c r="AF10" s="874" t="s">
        <v>472</v>
      </c>
      <c r="AG10" s="874"/>
      <c r="AH10" s="877"/>
      <c r="AI10" s="39"/>
      <c r="AJ10" s="39"/>
      <c r="AK10" s="39"/>
      <c r="AL10" s="40"/>
      <c r="AP10" s="29"/>
    </row>
    <row r="11" spans="2:42" s="2" customFormat="1" ht="18" customHeight="1">
      <c r="B11" s="705"/>
      <c r="C11" s="836"/>
      <c r="D11" s="836"/>
      <c r="E11" s="836"/>
      <c r="F11" s="836"/>
      <c r="G11" s="836"/>
      <c r="H11" s="836"/>
      <c r="I11" s="836"/>
      <c r="J11" s="836"/>
      <c r="K11" s="836"/>
      <c r="L11" s="924"/>
      <c r="M11" s="924"/>
      <c r="N11" s="924"/>
      <c r="O11" s="924"/>
      <c r="P11" s="924"/>
      <c r="Q11" s="924"/>
      <c r="R11" s="924"/>
      <c r="S11" s="924"/>
      <c r="T11" s="924"/>
      <c r="U11" s="984"/>
      <c r="V11" s="852"/>
      <c r="W11" s="870" t="s">
        <v>22</v>
      </c>
      <c r="X11" s="871"/>
      <c r="Y11" s="898"/>
      <c r="Z11" s="875"/>
      <c r="AA11" s="875"/>
      <c r="AB11" s="875"/>
      <c r="AC11" s="875"/>
      <c r="AD11" s="875"/>
      <c r="AE11" s="978"/>
      <c r="AF11" s="875"/>
      <c r="AG11" s="875"/>
      <c r="AH11" s="878"/>
      <c r="AI11" s="39"/>
      <c r="AJ11" s="39"/>
      <c r="AK11" s="39"/>
      <c r="AL11" s="40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23"/>
      <c r="H12" s="923"/>
      <c r="I12" s="923"/>
      <c r="J12" s="923"/>
      <c r="K12" s="923"/>
      <c r="L12" s="34" t="s">
        <v>4</v>
      </c>
      <c r="M12" s="34"/>
      <c r="N12" s="34"/>
      <c r="O12" s="923"/>
      <c r="P12" s="923"/>
      <c r="Q12" s="923"/>
      <c r="R12" s="923"/>
      <c r="S12" s="923"/>
      <c r="T12" s="923"/>
      <c r="U12" s="983"/>
      <c r="V12" s="852"/>
      <c r="W12" s="870" t="s">
        <v>23</v>
      </c>
      <c r="X12" s="871"/>
      <c r="Y12" s="898"/>
      <c r="Z12" s="875"/>
      <c r="AA12" s="875"/>
      <c r="AB12" s="875"/>
      <c r="AC12" s="875"/>
      <c r="AD12" s="875"/>
      <c r="AE12" s="978"/>
      <c r="AF12" s="875"/>
      <c r="AG12" s="875"/>
      <c r="AH12" s="878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87"/>
      <c r="D13" s="987"/>
      <c r="E13" s="987"/>
      <c r="F13" s="987"/>
      <c r="G13" s="987"/>
      <c r="H13" s="987"/>
      <c r="I13" s="987"/>
      <c r="J13" s="987"/>
      <c r="K13" s="987"/>
      <c r="L13" s="35" t="s">
        <v>29</v>
      </c>
      <c r="M13" s="35"/>
      <c r="N13" s="994"/>
      <c r="O13" s="994"/>
      <c r="P13" s="994"/>
      <c r="Q13" s="994"/>
      <c r="R13" s="994"/>
      <c r="S13" s="994"/>
      <c r="T13" s="994"/>
      <c r="U13" s="995"/>
      <c r="V13" s="852"/>
      <c r="W13" s="882"/>
      <c r="X13" s="883"/>
      <c r="Y13" s="898"/>
      <c r="Z13" s="875"/>
      <c r="AA13" s="875"/>
      <c r="AB13" s="875"/>
      <c r="AC13" s="875"/>
      <c r="AD13" s="875"/>
      <c r="AE13" s="978"/>
      <c r="AF13" s="875"/>
      <c r="AG13" s="875"/>
      <c r="AH13" s="878"/>
      <c r="AI13" s="39"/>
      <c r="AJ13" s="39"/>
      <c r="AK13" s="39"/>
      <c r="AL13" s="40"/>
      <c r="AP13" s="29"/>
    </row>
    <row r="14" spans="2:42" s="6" customFormat="1" ht="40.15" customHeight="1" thickTop="1">
      <c r="B14" s="707" t="s">
        <v>536</v>
      </c>
      <c r="C14" s="996" t="s">
        <v>34</v>
      </c>
      <c r="D14" s="997"/>
      <c r="E14" s="997"/>
      <c r="F14" s="976" t="s">
        <v>5</v>
      </c>
      <c r="G14" s="976"/>
      <c r="H14" s="976"/>
      <c r="I14" s="976"/>
      <c r="J14" s="976"/>
      <c r="K14" s="976"/>
      <c r="L14" s="976"/>
      <c r="M14" s="975" t="s">
        <v>61</v>
      </c>
      <c r="N14" s="976"/>
      <c r="O14" s="976"/>
      <c r="P14" s="975" t="s">
        <v>57</v>
      </c>
      <c r="Q14" s="976"/>
      <c r="R14" s="976"/>
      <c r="S14" s="980" t="s">
        <v>27</v>
      </c>
      <c r="T14" s="981"/>
      <c r="U14" s="982"/>
      <c r="V14" s="853"/>
      <c r="W14" s="884"/>
      <c r="X14" s="885"/>
      <c r="Y14" s="899"/>
      <c r="Z14" s="876"/>
      <c r="AA14" s="876"/>
      <c r="AB14" s="876"/>
      <c r="AC14" s="876"/>
      <c r="AD14" s="876"/>
      <c r="AE14" s="979"/>
      <c r="AF14" s="876"/>
      <c r="AG14" s="876"/>
      <c r="AH14" s="879"/>
      <c r="AI14" s="763" t="s">
        <v>40</v>
      </c>
      <c r="AJ14" s="764"/>
      <c r="AK14" s="764"/>
      <c r="AL14" s="765"/>
    </row>
    <row r="15" spans="2:42" s="17" customFormat="1" ht="19.899999999999999" customHeight="1">
      <c r="B15" s="705"/>
      <c r="C15" s="905"/>
      <c r="D15" s="906"/>
      <c r="E15" s="906"/>
      <c r="F15" s="909"/>
      <c r="G15" s="909"/>
      <c r="H15" s="909"/>
      <c r="I15" s="909"/>
      <c r="J15" s="909"/>
      <c r="K15" s="909"/>
      <c r="L15" s="909"/>
      <c r="M15" s="880"/>
      <c r="N15" s="880"/>
      <c r="O15" s="880"/>
      <c r="P15" s="880"/>
      <c r="Q15" s="880"/>
      <c r="R15" s="880"/>
      <c r="S15" s="880" t="s">
        <v>65</v>
      </c>
      <c r="T15" s="880"/>
      <c r="U15" s="880"/>
      <c r="V15" s="16"/>
      <c r="W15" s="880"/>
      <c r="X15" s="881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6"/>
      <c r="AJ15" s="766"/>
      <c r="AK15" s="766"/>
      <c r="AL15" s="767"/>
    </row>
    <row r="16" spans="2:42" s="17" customFormat="1" ht="19.899999999999999" customHeight="1">
      <c r="B16" s="705"/>
      <c r="C16" s="905"/>
      <c r="D16" s="906"/>
      <c r="E16" s="906"/>
      <c r="F16" s="932"/>
      <c r="G16" s="933"/>
      <c r="H16" s="933"/>
      <c r="I16" s="933"/>
      <c r="J16" s="933"/>
      <c r="K16" s="933"/>
      <c r="L16" s="934"/>
      <c r="M16" s="880"/>
      <c r="N16" s="880"/>
      <c r="O16" s="880"/>
      <c r="P16" s="880"/>
      <c r="Q16" s="880"/>
      <c r="R16" s="880"/>
      <c r="S16" s="880" t="s">
        <v>65</v>
      </c>
      <c r="T16" s="880"/>
      <c r="U16" s="880"/>
      <c r="V16" s="16"/>
      <c r="W16" s="880"/>
      <c r="X16" s="881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6"/>
      <c r="AJ16" s="766"/>
      <c r="AK16" s="766"/>
      <c r="AL16" s="767"/>
      <c r="AO16" s="97"/>
      <c r="AP16" s="97"/>
    </row>
    <row r="17" spans="2:38" s="6" customFormat="1" ht="19.899999999999999" customHeight="1">
      <c r="B17" s="705"/>
      <c r="C17" s="905"/>
      <c r="D17" s="906"/>
      <c r="E17" s="906"/>
      <c r="F17" s="909"/>
      <c r="G17" s="909"/>
      <c r="H17" s="909"/>
      <c r="I17" s="909"/>
      <c r="J17" s="909"/>
      <c r="K17" s="909"/>
      <c r="L17" s="909"/>
      <c r="M17" s="880"/>
      <c r="N17" s="880"/>
      <c r="O17" s="880"/>
      <c r="P17" s="880"/>
      <c r="Q17" s="880"/>
      <c r="R17" s="880"/>
      <c r="S17" s="880" t="s">
        <v>65</v>
      </c>
      <c r="T17" s="880"/>
      <c r="U17" s="880"/>
      <c r="V17" s="16"/>
      <c r="W17" s="880"/>
      <c r="X17" s="881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6"/>
      <c r="AJ17" s="766"/>
      <c r="AK17" s="766"/>
      <c r="AL17" s="767"/>
    </row>
    <row r="18" spans="2:38" s="6" customFormat="1" ht="19.899999999999999" customHeight="1">
      <c r="B18" s="705"/>
      <c r="C18" s="905"/>
      <c r="D18" s="906"/>
      <c r="E18" s="906"/>
      <c r="F18" s="909"/>
      <c r="G18" s="909"/>
      <c r="H18" s="909"/>
      <c r="I18" s="909"/>
      <c r="J18" s="909"/>
      <c r="K18" s="909"/>
      <c r="L18" s="909"/>
      <c r="M18" s="880"/>
      <c r="N18" s="880"/>
      <c r="O18" s="880"/>
      <c r="P18" s="880"/>
      <c r="Q18" s="880"/>
      <c r="R18" s="880"/>
      <c r="S18" s="880" t="s">
        <v>65</v>
      </c>
      <c r="T18" s="880"/>
      <c r="U18" s="880"/>
      <c r="V18" s="16"/>
      <c r="W18" s="880"/>
      <c r="X18" s="881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6"/>
      <c r="AJ18" s="766"/>
      <c r="AK18" s="766"/>
      <c r="AL18" s="767"/>
    </row>
    <row r="19" spans="2:38" s="6" customFormat="1" ht="19.899999999999999" customHeight="1">
      <c r="B19" s="705"/>
      <c r="C19" s="905"/>
      <c r="D19" s="906"/>
      <c r="E19" s="906"/>
      <c r="F19" s="909"/>
      <c r="G19" s="909"/>
      <c r="H19" s="909"/>
      <c r="I19" s="909"/>
      <c r="J19" s="909"/>
      <c r="K19" s="909"/>
      <c r="L19" s="909"/>
      <c r="M19" s="880"/>
      <c r="N19" s="880"/>
      <c r="O19" s="880"/>
      <c r="P19" s="880"/>
      <c r="Q19" s="880"/>
      <c r="R19" s="880"/>
      <c r="S19" s="880" t="s">
        <v>65</v>
      </c>
      <c r="T19" s="880"/>
      <c r="U19" s="880"/>
      <c r="V19" s="16"/>
      <c r="W19" s="880"/>
      <c r="X19" s="881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6"/>
      <c r="AJ19" s="766"/>
      <c r="AK19" s="766"/>
      <c r="AL19" s="767"/>
    </row>
    <row r="20" spans="2:38" s="6" customFormat="1" ht="19.899999999999999" customHeight="1">
      <c r="B20" s="705"/>
      <c r="C20" s="905"/>
      <c r="D20" s="906"/>
      <c r="E20" s="906"/>
      <c r="F20" s="909"/>
      <c r="G20" s="909"/>
      <c r="H20" s="909"/>
      <c r="I20" s="909"/>
      <c r="J20" s="909"/>
      <c r="K20" s="909"/>
      <c r="L20" s="909"/>
      <c r="M20" s="880"/>
      <c r="N20" s="880"/>
      <c r="O20" s="880"/>
      <c r="P20" s="880"/>
      <c r="Q20" s="880"/>
      <c r="R20" s="880"/>
      <c r="S20" s="880" t="s">
        <v>65</v>
      </c>
      <c r="T20" s="880"/>
      <c r="U20" s="880"/>
      <c r="V20" s="16"/>
      <c r="W20" s="880"/>
      <c r="X20" s="881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6"/>
      <c r="AJ20" s="766"/>
      <c r="AK20" s="766"/>
      <c r="AL20" s="767"/>
    </row>
    <row r="21" spans="2:38" s="6" customFormat="1" ht="19.899999999999999" customHeight="1">
      <c r="B21" s="705"/>
      <c r="C21" s="905"/>
      <c r="D21" s="906"/>
      <c r="E21" s="906"/>
      <c r="F21" s="909"/>
      <c r="G21" s="909"/>
      <c r="H21" s="909"/>
      <c r="I21" s="909"/>
      <c r="J21" s="909"/>
      <c r="K21" s="909"/>
      <c r="L21" s="909"/>
      <c r="M21" s="880"/>
      <c r="N21" s="880"/>
      <c r="O21" s="880"/>
      <c r="P21" s="880"/>
      <c r="Q21" s="880"/>
      <c r="R21" s="880"/>
      <c r="S21" s="880" t="s">
        <v>65</v>
      </c>
      <c r="T21" s="880"/>
      <c r="U21" s="880"/>
      <c r="V21" s="16"/>
      <c r="W21" s="880"/>
      <c r="X21" s="881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6"/>
      <c r="AJ21" s="766"/>
      <c r="AK21" s="766"/>
      <c r="AL21" s="767"/>
    </row>
    <row r="22" spans="2:38" s="6" customFormat="1" ht="19.899999999999999" customHeight="1">
      <c r="B22" s="705"/>
      <c r="C22" s="905"/>
      <c r="D22" s="906"/>
      <c r="E22" s="906"/>
      <c r="F22" s="909"/>
      <c r="G22" s="909"/>
      <c r="H22" s="909"/>
      <c r="I22" s="909"/>
      <c r="J22" s="909"/>
      <c r="K22" s="909"/>
      <c r="L22" s="909"/>
      <c r="M22" s="880"/>
      <c r="N22" s="880"/>
      <c r="O22" s="880"/>
      <c r="P22" s="880"/>
      <c r="Q22" s="880"/>
      <c r="R22" s="880"/>
      <c r="S22" s="880" t="s">
        <v>65</v>
      </c>
      <c r="T22" s="880"/>
      <c r="U22" s="880"/>
      <c r="V22" s="16"/>
      <c r="W22" s="880"/>
      <c r="X22" s="881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6"/>
      <c r="AJ22" s="766"/>
      <c r="AK22" s="766"/>
      <c r="AL22" s="767"/>
    </row>
    <row r="23" spans="2:38" s="6" customFormat="1" ht="19.899999999999999" customHeight="1">
      <c r="B23" s="705"/>
      <c r="C23" s="905"/>
      <c r="D23" s="906"/>
      <c r="E23" s="906"/>
      <c r="F23" s="909"/>
      <c r="G23" s="909"/>
      <c r="H23" s="909"/>
      <c r="I23" s="909"/>
      <c r="J23" s="909"/>
      <c r="K23" s="909"/>
      <c r="L23" s="909"/>
      <c r="M23" s="880"/>
      <c r="N23" s="880"/>
      <c r="O23" s="880"/>
      <c r="P23" s="880"/>
      <c r="Q23" s="880"/>
      <c r="R23" s="880"/>
      <c r="S23" s="880" t="s">
        <v>65</v>
      </c>
      <c r="T23" s="880"/>
      <c r="U23" s="880"/>
      <c r="V23" s="16"/>
      <c r="W23" s="880"/>
      <c r="X23" s="881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6"/>
      <c r="AJ23" s="766"/>
      <c r="AK23" s="766"/>
      <c r="AL23" s="767"/>
    </row>
    <row r="24" spans="2:38" s="6" customFormat="1" ht="19.899999999999999" customHeight="1" thickBot="1">
      <c r="B24" s="706"/>
      <c r="C24" s="935"/>
      <c r="D24" s="936"/>
      <c r="E24" s="936"/>
      <c r="F24" s="937"/>
      <c r="G24" s="937"/>
      <c r="H24" s="937"/>
      <c r="I24" s="937"/>
      <c r="J24" s="937"/>
      <c r="K24" s="937"/>
      <c r="L24" s="937"/>
      <c r="M24" s="938"/>
      <c r="N24" s="938"/>
      <c r="O24" s="938"/>
      <c r="P24" s="938"/>
      <c r="Q24" s="938"/>
      <c r="R24" s="938"/>
      <c r="S24" s="938" t="s">
        <v>65</v>
      </c>
      <c r="T24" s="938"/>
      <c r="U24" s="938"/>
      <c r="V24" s="78"/>
      <c r="W24" s="938"/>
      <c r="X24" s="939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71"/>
      <c r="AJ24" s="771"/>
      <c r="AK24" s="771"/>
      <c r="AL24" s="772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4" t="s">
        <v>539</v>
      </c>
      <c r="AB25" s="965"/>
      <c r="AC25" s="895" t="s">
        <v>542</v>
      </c>
      <c r="AD25" s="895"/>
      <c r="AE25" s="895"/>
      <c r="AF25" s="896"/>
      <c r="AG25" s="716" t="s">
        <v>45</v>
      </c>
      <c r="AH25" s="717"/>
      <c r="AI25" s="717"/>
      <c r="AJ25" s="717"/>
      <c r="AK25" s="717"/>
      <c r="AL25" s="718"/>
    </row>
    <row r="26" spans="2:38" s="8" customFormat="1" ht="15" customHeight="1">
      <c r="B26" s="705"/>
      <c r="C26" s="112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1001" t="s">
        <v>32</v>
      </c>
      <c r="AB26" s="1002"/>
      <c r="AC26" s="1002"/>
      <c r="AD26" s="1002"/>
      <c r="AE26" s="1002"/>
      <c r="AF26" s="1003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113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1004"/>
      <c r="AB27" s="1005"/>
      <c r="AC27" s="1005"/>
      <c r="AD27" s="1005"/>
      <c r="AE27" s="1005"/>
      <c r="AF27" s="1006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112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113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112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8" t="s">
        <v>44</v>
      </c>
      <c r="AB32" s="949"/>
      <c r="AC32" s="949"/>
      <c r="AD32" s="949"/>
      <c r="AE32" s="949"/>
      <c r="AF32" s="950"/>
      <c r="AG32" s="954" t="s">
        <v>13</v>
      </c>
      <c r="AH32" s="955"/>
      <c r="AI32" s="955"/>
      <c r="AJ32" s="955"/>
      <c r="AK32" s="955"/>
      <c r="AL32" s="956"/>
    </row>
    <row r="33" spans="2:39" s="8" customFormat="1" ht="15" customHeight="1">
      <c r="B33" s="705"/>
      <c r="C33" s="113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51"/>
      <c r="AB33" s="952"/>
      <c r="AC33" s="952"/>
      <c r="AD33" s="952"/>
      <c r="AE33" s="952"/>
      <c r="AF33" s="953"/>
      <c r="AG33" s="957"/>
      <c r="AH33" s="958"/>
      <c r="AI33" s="958"/>
      <c r="AJ33" s="958"/>
      <c r="AK33" s="958"/>
      <c r="AL33" s="959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60" t="s">
        <v>43</v>
      </c>
      <c r="AB34" s="961"/>
      <c r="AC34" s="961"/>
      <c r="AD34" s="961"/>
      <c r="AE34" s="961"/>
      <c r="AF34" s="962"/>
      <c r="AG34" s="957" t="s">
        <v>47</v>
      </c>
      <c r="AH34" s="958"/>
      <c r="AI34" s="958"/>
      <c r="AJ34" s="958"/>
      <c r="AK34" s="958"/>
      <c r="AL34" s="959"/>
      <c r="AM34" s="18"/>
    </row>
    <row r="35" spans="2:39" s="8" customFormat="1" ht="15" customHeight="1">
      <c r="B35" s="705"/>
      <c r="C35" s="112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60"/>
      <c r="AB35" s="961"/>
      <c r="AC35" s="961"/>
      <c r="AD35" s="961"/>
      <c r="AE35" s="961"/>
      <c r="AF35" s="962"/>
      <c r="AG35" s="957"/>
      <c r="AH35" s="958"/>
      <c r="AI35" s="958"/>
      <c r="AJ35" s="958"/>
      <c r="AK35" s="958"/>
      <c r="AL35" s="959"/>
      <c r="AM35" s="18"/>
    </row>
    <row r="36" spans="2:39" s="8" customFormat="1" ht="15" customHeight="1" thickBot="1">
      <c r="B36" s="706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24"/>
      <c r="N36" s="19"/>
      <c r="O36" s="25"/>
      <c r="P36" s="24"/>
      <c r="Q36" s="19"/>
      <c r="R36" s="25"/>
      <c r="S36" s="26"/>
      <c r="T36" s="26"/>
      <c r="U36" s="26"/>
      <c r="V36" s="26"/>
      <c r="W36" s="26"/>
      <c r="X36" s="26"/>
      <c r="Y36" s="26"/>
      <c r="Z36" s="27"/>
      <c r="AA36" s="998" t="s">
        <v>31</v>
      </c>
      <c r="AB36" s="999"/>
      <c r="AC36" s="999"/>
      <c r="AD36" s="999"/>
      <c r="AE36" s="999"/>
      <c r="AF36" s="1000"/>
      <c r="AG36" s="999" t="s">
        <v>31</v>
      </c>
      <c r="AH36" s="999"/>
      <c r="AI36" s="999"/>
      <c r="AJ36" s="999"/>
      <c r="AK36" s="999"/>
      <c r="AL36" s="1000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9" t="s">
        <v>533</v>
      </c>
      <c r="AB38" s="839"/>
      <c r="AC38" s="839"/>
      <c r="AD38" s="839"/>
      <c r="AE38" s="839"/>
      <c r="AF38" s="839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AA36:AF36"/>
    <mergeCell ref="C23:E23"/>
    <mergeCell ref="F23:L23"/>
    <mergeCell ref="AG36:AL36"/>
    <mergeCell ref="AA26:AF27"/>
    <mergeCell ref="AA32:AF33"/>
    <mergeCell ref="AG32:AL33"/>
    <mergeCell ref="AA34:AF35"/>
    <mergeCell ref="C24:E24"/>
    <mergeCell ref="F24:L24"/>
    <mergeCell ref="AG34:AL35"/>
    <mergeCell ref="P24:R24"/>
    <mergeCell ref="S24:U24"/>
    <mergeCell ref="W24:X24"/>
    <mergeCell ref="W23:X23"/>
    <mergeCell ref="S23:U23"/>
    <mergeCell ref="M24:O24"/>
    <mergeCell ref="AI24:AL24"/>
    <mergeCell ref="M23:O23"/>
    <mergeCell ref="AI21:AL21"/>
    <mergeCell ref="AI22:AL22"/>
    <mergeCell ref="AI23:AL23"/>
    <mergeCell ref="P23:R23"/>
    <mergeCell ref="S21:U21"/>
    <mergeCell ref="C21:E21"/>
    <mergeCell ref="F21:L21"/>
    <mergeCell ref="M21:O21"/>
    <mergeCell ref="P21:R21"/>
    <mergeCell ref="F22:L22"/>
    <mergeCell ref="W21:X21"/>
    <mergeCell ref="S22:U22"/>
    <mergeCell ref="W22:X22"/>
    <mergeCell ref="M22:O22"/>
    <mergeCell ref="P22:R22"/>
    <mergeCell ref="C22:E22"/>
    <mergeCell ref="S20:U20"/>
    <mergeCell ref="W20:X20"/>
    <mergeCell ref="AI20:AL20"/>
    <mergeCell ref="C19:E19"/>
    <mergeCell ref="F19:L19"/>
    <mergeCell ref="C20:E20"/>
    <mergeCell ref="F20:L20"/>
    <mergeCell ref="M20:O20"/>
    <mergeCell ref="P20:R20"/>
    <mergeCell ref="M19:O19"/>
    <mergeCell ref="AI19:AL19"/>
    <mergeCell ref="AI18:AL18"/>
    <mergeCell ref="S17:U17"/>
    <mergeCell ref="W17:X17"/>
    <mergeCell ref="AI17:AL17"/>
    <mergeCell ref="S18:U18"/>
    <mergeCell ref="P19:R19"/>
    <mergeCell ref="C18:E18"/>
    <mergeCell ref="F18:L18"/>
    <mergeCell ref="M18:O18"/>
    <mergeCell ref="P18:R18"/>
    <mergeCell ref="W19:X19"/>
    <mergeCell ref="S19:U19"/>
    <mergeCell ref="W18:X18"/>
    <mergeCell ref="M17:O17"/>
    <mergeCell ref="P17:R17"/>
    <mergeCell ref="AI16:AL16"/>
    <mergeCell ref="S16:U16"/>
    <mergeCell ref="W16:X16"/>
    <mergeCell ref="C14:E14"/>
    <mergeCell ref="F14:L14"/>
    <mergeCell ref="C15:E15"/>
    <mergeCell ref="F17:L17"/>
    <mergeCell ref="C17:E17"/>
    <mergeCell ref="O12:U12"/>
    <mergeCell ref="S15:U15"/>
    <mergeCell ref="W15:X15"/>
    <mergeCell ref="W12:X12"/>
    <mergeCell ref="W13:X14"/>
    <mergeCell ref="AB10:AB14"/>
    <mergeCell ref="C16:E16"/>
    <mergeCell ref="F16:L16"/>
    <mergeCell ref="M16:O16"/>
    <mergeCell ref="P16:R16"/>
    <mergeCell ref="F15:L15"/>
    <mergeCell ref="M15:O15"/>
    <mergeCell ref="P15:R15"/>
    <mergeCell ref="AF1:AJ1"/>
    <mergeCell ref="P2:AA2"/>
    <mergeCell ref="P3:AA3"/>
    <mergeCell ref="AF6:AK6"/>
    <mergeCell ref="P4:AA4"/>
    <mergeCell ref="B7:B13"/>
    <mergeCell ref="AI7:AL8"/>
    <mergeCell ref="C9:E9"/>
    <mergeCell ref="L9:N9"/>
    <mergeCell ref="V9:V14"/>
    <mergeCell ref="C13:K13"/>
    <mergeCell ref="F9:K9"/>
    <mergeCell ref="O9:U9"/>
    <mergeCell ref="W10:X10"/>
    <mergeCell ref="Y10:Y14"/>
    <mergeCell ref="F8:K8"/>
    <mergeCell ref="O8:U8"/>
    <mergeCell ref="F7:U7"/>
    <mergeCell ref="W9:X9"/>
    <mergeCell ref="G10:K10"/>
    <mergeCell ref="C11:K11"/>
    <mergeCell ref="AI14:AL14"/>
    <mergeCell ref="N13:U13"/>
    <mergeCell ref="Z10:Z14"/>
    <mergeCell ref="B14:B24"/>
    <mergeCell ref="B25:B36"/>
    <mergeCell ref="V7:AH7"/>
    <mergeCell ref="V8:X8"/>
    <mergeCell ref="Z8:AG8"/>
    <mergeCell ref="AG25:AL25"/>
    <mergeCell ref="AA25:AB25"/>
    <mergeCell ref="AC25:AF25"/>
    <mergeCell ref="C7:E7"/>
    <mergeCell ref="G12:K12"/>
    <mergeCell ref="AA10:AA14"/>
    <mergeCell ref="AG10:AG14"/>
    <mergeCell ref="AC10:AC14"/>
    <mergeCell ref="AI15:AL15"/>
    <mergeCell ref="M14:O14"/>
    <mergeCell ref="P14:R14"/>
    <mergeCell ref="AH10:AH14"/>
    <mergeCell ref="W11:X11"/>
    <mergeCell ref="AE10:AE14"/>
    <mergeCell ref="AF10:AF14"/>
    <mergeCell ref="S14:U14"/>
    <mergeCell ref="N10:U10"/>
    <mergeCell ref="L11:U11"/>
    <mergeCell ref="AD10:AD14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&amp;RF083-Kit_Request_and_COC_Templates-Mining
Revised 2013-03-24</oddFooter>
  </headerFooter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AP39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6" t="s">
        <v>15</v>
      </c>
      <c r="AG1" s="776"/>
      <c r="AH1" s="776"/>
      <c r="AI1" s="776"/>
      <c r="AJ1" s="910"/>
    </row>
    <row r="2" spans="2:42" s="8" customFormat="1" ht="15" customHeight="1">
      <c r="K2" s="11"/>
      <c r="L2" s="11"/>
      <c r="M2" s="11"/>
      <c r="N2" s="11"/>
      <c r="O2" s="11"/>
      <c r="P2" s="800" t="s">
        <v>30</v>
      </c>
      <c r="Q2" s="800"/>
      <c r="R2" s="800"/>
      <c r="S2" s="800"/>
      <c r="T2" s="800"/>
      <c r="U2" s="800"/>
      <c r="V2" s="800"/>
      <c r="W2" s="800"/>
      <c r="X2" s="800"/>
      <c r="Y2" s="800"/>
      <c r="Z2" s="800"/>
      <c r="AA2" s="800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P3" s="800" t="s">
        <v>14</v>
      </c>
      <c r="Q3" s="800"/>
      <c r="R3" s="800"/>
      <c r="S3" s="800"/>
      <c r="T3" s="800"/>
      <c r="U3" s="800"/>
      <c r="V3" s="800"/>
      <c r="W3" s="800"/>
      <c r="X3" s="800"/>
      <c r="Y3" s="800"/>
      <c r="Z3" s="800"/>
      <c r="AA3" s="800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1" t="s">
        <v>464</v>
      </c>
      <c r="Q4" s="911"/>
      <c r="R4" s="911"/>
      <c r="S4" s="911"/>
      <c r="T4" s="911"/>
      <c r="U4" s="911"/>
      <c r="V4" s="911"/>
      <c r="W4" s="911"/>
      <c r="X4" s="911"/>
      <c r="Y4" s="911"/>
      <c r="Z4" s="911"/>
      <c r="AA4" s="911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8" t="s">
        <v>24</v>
      </c>
      <c r="AG6" s="778"/>
      <c r="AH6" s="778"/>
      <c r="AI6" s="779"/>
      <c r="AJ6" s="779"/>
      <c r="AK6" s="779"/>
      <c r="AL6" s="15"/>
    </row>
    <row r="7" spans="2:42" s="2" customFormat="1" ht="34.9" customHeight="1" thickTop="1" thickBot="1">
      <c r="B7" s="707" t="s">
        <v>535</v>
      </c>
      <c r="C7" s="973" t="s">
        <v>0</v>
      </c>
      <c r="D7" s="974"/>
      <c r="E7" s="974"/>
      <c r="F7" s="989"/>
      <c r="G7" s="990"/>
      <c r="H7" s="990"/>
      <c r="I7" s="990"/>
      <c r="J7" s="990"/>
      <c r="K7" s="990"/>
      <c r="L7" s="990"/>
      <c r="M7" s="990"/>
      <c r="N7" s="990"/>
      <c r="O7" s="990"/>
      <c r="P7" s="990"/>
      <c r="Q7" s="990"/>
      <c r="R7" s="990"/>
      <c r="S7" s="990"/>
      <c r="T7" s="990"/>
      <c r="U7" s="991"/>
      <c r="V7" s="886" t="s">
        <v>544</v>
      </c>
      <c r="W7" s="887"/>
      <c r="X7" s="887"/>
      <c r="Y7" s="887"/>
      <c r="Z7" s="887"/>
      <c r="AA7" s="887"/>
      <c r="AB7" s="887"/>
      <c r="AC7" s="887"/>
      <c r="AD7" s="887"/>
      <c r="AE7" s="887"/>
      <c r="AF7" s="887"/>
      <c r="AG7" s="887"/>
      <c r="AH7" s="888"/>
      <c r="AI7" s="780" t="s">
        <v>48</v>
      </c>
      <c r="AJ7" s="781"/>
      <c r="AK7" s="781"/>
      <c r="AL7" s="782"/>
    </row>
    <row r="8" spans="2:42" s="2" customFormat="1" ht="34.9" customHeight="1" thickBot="1">
      <c r="B8" s="705"/>
      <c r="C8" s="33" t="s">
        <v>1</v>
      </c>
      <c r="D8" s="33"/>
      <c r="E8" s="33"/>
      <c r="F8" s="893"/>
      <c r="G8" s="893"/>
      <c r="H8" s="893"/>
      <c r="I8" s="893"/>
      <c r="J8" s="893"/>
      <c r="K8" s="893"/>
      <c r="L8" s="5" t="s">
        <v>20</v>
      </c>
      <c r="M8" s="33"/>
      <c r="N8" s="33"/>
      <c r="O8" s="914"/>
      <c r="P8" s="914"/>
      <c r="Q8" s="914"/>
      <c r="R8" s="914"/>
      <c r="S8" s="914"/>
      <c r="T8" s="914"/>
      <c r="U8" s="988"/>
      <c r="V8" s="1010" t="s">
        <v>537</v>
      </c>
      <c r="W8" s="917"/>
      <c r="X8" s="918"/>
      <c r="Y8" s="114"/>
      <c r="Z8" s="894" t="s">
        <v>543</v>
      </c>
      <c r="AA8" s="894"/>
      <c r="AB8" s="894"/>
      <c r="AC8" s="894"/>
      <c r="AD8" s="894"/>
      <c r="AE8" s="894"/>
      <c r="AF8" s="894"/>
      <c r="AG8" s="894"/>
      <c r="AH8" s="114"/>
      <c r="AI8" s="783"/>
      <c r="AJ8" s="783"/>
      <c r="AK8" s="783"/>
      <c r="AL8" s="784"/>
    </row>
    <row r="9" spans="2:42" s="2" customFormat="1" ht="40.15" customHeight="1">
      <c r="B9" s="705"/>
      <c r="C9" s="904" t="s">
        <v>37</v>
      </c>
      <c r="D9" s="904"/>
      <c r="E9" s="904"/>
      <c r="F9" s="893"/>
      <c r="G9" s="893"/>
      <c r="H9" s="893"/>
      <c r="I9" s="893"/>
      <c r="J9" s="893"/>
      <c r="K9" s="893"/>
      <c r="L9" s="919" t="s">
        <v>38</v>
      </c>
      <c r="M9" s="986"/>
      <c r="N9" s="986"/>
      <c r="O9" s="914"/>
      <c r="P9" s="914"/>
      <c r="Q9" s="914"/>
      <c r="R9" s="914"/>
      <c r="S9" s="914"/>
      <c r="T9" s="914"/>
      <c r="U9" s="988"/>
      <c r="V9" s="920" t="s">
        <v>58</v>
      </c>
      <c r="W9" s="992"/>
      <c r="X9" s="993"/>
      <c r="Y9" s="108" t="s">
        <v>284</v>
      </c>
      <c r="Z9" s="109" t="s">
        <v>468</v>
      </c>
      <c r="AA9" s="109" t="s">
        <v>468</v>
      </c>
      <c r="AB9" s="109" t="s">
        <v>468</v>
      </c>
      <c r="AC9" s="109" t="s">
        <v>444</v>
      </c>
      <c r="AD9" s="109" t="s">
        <v>444</v>
      </c>
      <c r="AE9" s="109" t="s">
        <v>284</v>
      </c>
      <c r="AF9" s="109" t="s">
        <v>446</v>
      </c>
      <c r="AG9" s="109" t="s">
        <v>251</v>
      </c>
      <c r="AH9" s="109" t="s">
        <v>251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923"/>
      <c r="H10" s="923"/>
      <c r="I10" s="923"/>
      <c r="J10" s="923"/>
      <c r="K10" s="923"/>
      <c r="L10" s="34" t="s">
        <v>28</v>
      </c>
      <c r="M10" s="34"/>
      <c r="N10" s="923"/>
      <c r="O10" s="923"/>
      <c r="P10" s="923"/>
      <c r="Q10" s="923"/>
      <c r="R10" s="923"/>
      <c r="S10" s="923"/>
      <c r="T10" s="923"/>
      <c r="U10" s="983"/>
      <c r="V10" s="852"/>
      <c r="W10" s="930" t="s">
        <v>35</v>
      </c>
      <c r="X10" s="931"/>
      <c r="Y10" s="897" t="s">
        <v>475</v>
      </c>
      <c r="Z10" s="897" t="s">
        <v>476</v>
      </c>
      <c r="AA10" s="897" t="s">
        <v>53</v>
      </c>
      <c r="AB10" s="874" t="s">
        <v>478</v>
      </c>
      <c r="AC10" s="874" t="s">
        <v>473</v>
      </c>
      <c r="AD10" s="874" t="s">
        <v>477</v>
      </c>
      <c r="AE10" s="874" t="s">
        <v>479</v>
      </c>
      <c r="AF10" s="977" t="s">
        <v>480</v>
      </c>
      <c r="AG10" s="977" t="s">
        <v>532</v>
      </c>
      <c r="AH10" s="874" t="s">
        <v>472</v>
      </c>
      <c r="AI10" s="39"/>
      <c r="AJ10" s="39"/>
      <c r="AK10" s="39"/>
      <c r="AL10" s="40"/>
      <c r="AP10" s="29"/>
    </row>
    <row r="11" spans="2:42" s="2" customFormat="1" ht="18" customHeight="1">
      <c r="B11" s="705"/>
      <c r="C11" s="836"/>
      <c r="D11" s="836"/>
      <c r="E11" s="836"/>
      <c r="F11" s="836"/>
      <c r="G11" s="836"/>
      <c r="H11" s="836"/>
      <c r="I11" s="836"/>
      <c r="J11" s="836"/>
      <c r="K11" s="836"/>
      <c r="L11" s="924"/>
      <c r="M11" s="924"/>
      <c r="N11" s="924"/>
      <c r="O11" s="924"/>
      <c r="P11" s="924"/>
      <c r="Q11" s="924"/>
      <c r="R11" s="924"/>
      <c r="S11" s="924"/>
      <c r="T11" s="924"/>
      <c r="U11" s="984"/>
      <c r="V11" s="852"/>
      <c r="W11" s="870" t="s">
        <v>22</v>
      </c>
      <c r="X11" s="871"/>
      <c r="Y11" s="898"/>
      <c r="Z11" s="898"/>
      <c r="AA11" s="898"/>
      <c r="AB11" s="875"/>
      <c r="AC11" s="875"/>
      <c r="AD11" s="875"/>
      <c r="AE11" s="875"/>
      <c r="AF11" s="978"/>
      <c r="AG11" s="978"/>
      <c r="AH11" s="875"/>
      <c r="AI11" s="1007"/>
      <c r="AJ11" s="1008"/>
      <c r="AK11" s="1008"/>
      <c r="AL11" s="1009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23"/>
      <c r="H12" s="923"/>
      <c r="I12" s="923"/>
      <c r="J12" s="923"/>
      <c r="K12" s="923"/>
      <c r="L12" s="34" t="s">
        <v>4</v>
      </c>
      <c r="M12" s="34"/>
      <c r="N12" s="34"/>
      <c r="O12" s="923"/>
      <c r="P12" s="923"/>
      <c r="Q12" s="923"/>
      <c r="R12" s="923"/>
      <c r="S12" s="923"/>
      <c r="T12" s="923"/>
      <c r="U12" s="983"/>
      <c r="V12" s="852"/>
      <c r="W12" s="870" t="s">
        <v>23</v>
      </c>
      <c r="X12" s="871"/>
      <c r="Y12" s="898"/>
      <c r="Z12" s="898"/>
      <c r="AA12" s="898"/>
      <c r="AB12" s="875"/>
      <c r="AC12" s="875"/>
      <c r="AD12" s="875"/>
      <c r="AE12" s="875"/>
      <c r="AF12" s="978"/>
      <c r="AG12" s="978"/>
      <c r="AH12" s="875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87"/>
      <c r="D13" s="987"/>
      <c r="E13" s="987"/>
      <c r="F13" s="987"/>
      <c r="G13" s="987"/>
      <c r="H13" s="987"/>
      <c r="I13" s="987"/>
      <c r="J13" s="987"/>
      <c r="K13" s="987"/>
      <c r="L13" s="35" t="s">
        <v>29</v>
      </c>
      <c r="M13" s="35"/>
      <c r="N13" s="994"/>
      <c r="O13" s="994"/>
      <c r="P13" s="994"/>
      <c r="Q13" s="994"/>
      <c r="R13" s="994"/>
      <c r="S13" s="994"/>
      <c r="T13" s="994"/>
      <c r="U13" s="995"/>
      <c r="V13" s="852"/>
      <c r="W13" s="882"/>
      <c r="X13" s="883"/>
      <c r="Y13" s="898"/>
      <c r="Z13" s="898"/>
      <c r="AA13" s="898"/>
      <c r="AB13" s="875"/>
      <c r="AC13" s="875"/>
      <c r="AD13" s="875"/>
      <c r="AE13" s="875"/>
      <c r="AF13" s="978"/>
      <c r="AG13" s="978"/>
      <c r="AH13" s="875"/>
      <c r="AI13" s="39"/>
      <c r="AJ13" s="39"/>
      <c r="AK13" s="39"/>
      <c r="AL13" s="40"/>
      <c r="AP13" s="29"/>
    </row>
    <row r="14" spans="2:42" s="6" customFormat="1" ht="40.15" customHeight="1" thickTop="1">
      <c r="B14" s="707" t="s">
        <v>536</v>
      </c>
      <c r="C14" s="996" t="s">
        <v>34</v>
      </c>
      <c r="D14" s="997"/>
      <c r="E14" s="997"/>
      <c r="F14" s="976" t="s">
        <v>5</v>
      </c>
      <c r="G14" s="976"/>
      <c r="H14" s="976"/>
      <c r="I14" s="976"/>
      <c r="J14" s="976"/>
      <c r="K14" s="976"/>
      <c r="L14" s="976"/>
      <c r="M14" s="975" t="s">
        <v>61</v>
      </c>
      <c r="N14" s="976"/>
      <c r="O14" s="976"/>
      <c r="P14" s="975" t="s">
        <v>57</v>
      </c>
      <c r="Q14" s="976"/>
      <c r="R14" s="976"/>
      <c r="S14" s="980" t="s">
        <v>27</v>
      </c>
      <c r="T14" s="981"/>
      <c r="U14" s="982"/>
      <c r="V14" s="853"/>
      <c r="W14" s="884"/>
      <c r="X14" s="885"/>
      <c r="Y14" s="899"/>
      <c r="Z14" s="899"/>
      <c r="AA14" s="899"/>
      <c r="AB14" s="876"/>
      <c r="AC14" s="876"/>
      <c r="AD14" s="876"/>
      <c r="AE14" s="876"/>
      <c r="AF14" s="979"/>
      <c r="AG14" s="979"/>
      <c r="AH14" s="876"/>
      <c r="AI14" s="763" t="s">
        <v>40</v>
      </c>
      <c r="AJ14" s="764"/>
      <c r="AK14" s="764"/>
      <c r="AL14" s="765"/>
    </row>
    <row r="15" spans="2:42" s="17" customFormat="1" ht="19.899999999999999" customHeight="1">
      <c r="B15" s="705"/>
      <c r="C15" s="905"/>
      <c r="D15" s="906"/>
      <c r="E15" s="906"/>
      <c r="F15" s="909"/>
      <c r="G15" s="909"/>
      <c r="H15" s="909"/>
      <c r="I15" s="909"/>
      <c r="J15" s="909"/>
      <c r="K15" s="909"/>
      <c r="L15" s="909"/>
      <c r="M15" s="880"/>
      <c r="N15" s="880"/>
      <c r="O15" s="880"/>
      <c r="P15" s="880"/>
      <c r="Q15" s="880"/>
      <c r="R15" s="880"/>
      <c r="S15" s="880" t="s">
        <v>65</v>
      </c>
      <c r="T15" s="880"/>
      <c r="U15" s="880"/>
      <c r="V15" s="16"/>
      <c r="W15" s="880"/>
      <c r="X15" s="881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6"/>
      <c r="AJ15" s="766"/>
      <c r="AK15" s="766"/>
      <c r="AL15" s="767"/>
    </row>
    <row r="16" spans="2:42" s="17" customFormat="1" ht="19.899999999999999" customHeight="1">
      <c r="B16" s="705"/>
      <c r="C16" s="905"/>
      <c r="D16" s="906"/>
      <c r="E16" s="906"/>
      <c r="F16" s="932"/>
      <c r="G16" s="933"/>
      <c r="H16" s="933"/>
      <c r="I16" s="933"/>
      <c r="J16" s="933"/>
      <c r="K16" s="933"/>
      <c r="L16" s="934"/>
      <c r="M16" s="880"/>
      <c r="N16" s="880"/>
      <c r="O16" s="880"/>
      <c r="P16" s="880"/>
      <c r="Q16" s="880"/>
      <c r="R16" s="880"/>
      <c r="S16" s="880" t="s">
        <v>65</v>
      </c>
      <c r="T16" s="880"/>
      <c r="U16" s="880"/>
      <c r="V16" s="16"/>
      <c r="W16" s="880"/>
      <c r="X16" s="881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6"/>
      <c r="AJ16" s="766"/>
      <c r="AK16" s="766"/>
      <c r="AL16" s="767"/>
    </row>
    <row r="17" spans="2:38" s="6" customFormat="1" ht="19.899999999999999" customHeight="1">
      <c r="B17" s="705"/>
      <c r="C17" s="905"/>
      <c r="D17" s="906"/>
      <c r="E17" s="906"/>
      <c r="F17" s="909"/>
      <c r="G17" s="909"/>
      <c r="H17" s="909"/>
      <c r="I17" s="909"/>
      <c r="J17" s="909"/>
      <c r="K17" s="909"/>
      <c r="L17" s="909"/>
      <c r="M17" s="880"/>
      <c r="N17" s="880"/>
      <c r="O17" s="880"/>
      <c r="P17" s="880"/>
      <c r="Q17" s="880"/>
      <c r="R17" s="880"/>
      <c r="S17" s="880" t="s">
        <v>65</v>
      </c>
      <c r="T17" s="880"/>
      <c r="U17" s="880"/>
      <c r="V17" s="16"/>
      <c r="W17" s="880"/>
      <c r="X17" s="881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6"/>
      <c r="AJ17" s="766"/>
      <c r="AK17" s="766"/>
      <c r="AL17" s="767"/>
    </row>
    <row r="18" spans="2:38" s="6" customFormat="1" ht="19.899999999999999" customHeight="1">
      <c r="B18" s="705"/>
      <c r="C18" s="905"/>
      <c r="D18" s="906"/>
      <c r="E18" s="906"/>
      <c r="F18" s="909"/>
      <c r="G18" s="909"/>
      <c r="H18" s="909"/>
      <c r="I18" s="909"/>
      <c r="J18" s="909"/>
      <c r="K18" s="909"/>
      <c r="L18" s="909"/>
      <c r="M18" s="880"/>
      <c r="N18" s="880"/>
      <c r="O18" s="880"/>
      <c r="P18" s="880"/>
      <c r="Q18" s="880"/>
      <c r="R18" s="880"/>
      <c r="S18" s="880" t="s">
        <v>65</v>
      </c>
      <c r="T18" s="880"/>
      <c r="U18" s="880"/>
      <c r="V18" s="16"/>
      <c r="W18" s="880"/>
      <c r="X18" s="881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6"/>
      <c r="AJ18" s="766"/>
      <c r="AK18" s="766"/>
      <c r="AL18" s="767"/>
    </row>
    <row r="19" spans="2:38" s="6" customFormat="1" ht="19.899999999999999" customHeight="1">
      <c r="B19" s="705"/>
      <c r="C19" s="905"/>
      <c r="D19" s="906"/>
      <c r="E19" s="906"/>
      <c r="F19" s="909"/>
      <c r="G19" s="909"/>
      <c r="H19" s="909"/>
      <c r="I19" s="909"/>
      <c r="J19" s="909"/>
      <c r="K19" s="909"/>
      <c r="L19" s="909"/>
      <c r="M19" s="880"/>
      <c r="N19" s="880"/>
      <c r="O19" s="880"/>
      <c r="P19" s="880"/>
      <c r="Q19" s="880"/>
      <c r="R19" s="880"/>
      <c r="S19" s="880" t="s">
        <v>65</v>
      </c>
      <c r="T19" s="880"/>
      <c r="U19" s="880"/>
      <c r="V19" s="16"/>
      <c r="W19" s="880"/>
      <c r="X19" s="881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6"/>
      <c r="AJ19" s="766"/>
      <c r="AK19" s="766"/>
      <c r="AL19" s="767"/>
    </row>
    <row r="20" spans="2:38" s="6" customFormat="1" ht="19.899999999999999" customHeight="1">
      <c r="B20" s="705"/>
      <c r="C20" s="905"/>
      <c r="D20" s="906"/>
      <c r="E20" s="906"/>
      <c r="F20" s="909"/>
      <c r="G20" s="909"/>
      <c r="H20" s="909"/>
      <c r="I20" s="909"/>
      <c r="J20" s="909"/>
      <c r="K20" s="909"/>
      <c r="L20" s="909"/>
      <c r="M20" s="880"/>
      <c r="N20" s="880"/>
      <c r="O20" s="880"/>
      <c r="P20" s="880"/>
      <c r="Q20" s="880"/>
      <c r="R20" s="880"/>
      <c r="S20" s="880" t="s">
        <v>65</v>
      </c>
      <c r="T20" s="880"/>
      <c r="U20" s="880"/>
      <c r="V20" s="16"/>
      <c r="W20" s="880"/>
      <c r="X20" s="881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6"/>
      <c r="AJ20" s="766"/>
      <c r="AK20" s="766"/>
      <c r="AL20" s="767"/>
    </row>
    <row r="21" spans="2:38" s="6" customFormat="1" ht="19.899999999999999" customHeight="1">
      <c r="B21" s="705"/>
      <c r="C21" s="905"/>
      <c r="D21" s="906"/>
      <c r="E21" s="906"/>
      <c r="F21" s="909"/>
      <c r="G21" s="909"/>
      <c r="H21" s="909"/>
      <c r="I21" s="909"/>
      <c r="J21" s="909"/>
      <c r="K21" s="909"/>
      <c r="L21" s="909"/>
      <c r="M21" s="880"/>
      <c r="N21" s="880"/>
      <c r="O21" s="880"/>
      <c r="P21" s="880"/>
      <c r="Q21" s="880"/>
      <c r="R21" s="880"/>
      <c r="S21" s="880" t="s">
        <v>65</v>
      </c>
      <c r="T21" s="880"/>
      <c r="U21" s="880"/>
      <c r="V21" s="16"/>
      <c r="W21" s="880"/>
      <c r="X21" s="881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6"/>
      <c r="AJ21" s="766"/>
      <c r="AK21" s="766"/>
      <c r="AL21" s="767"/>
    </row>
    <row r="22" spans="2:38" s="6" customFormat="1" ht="19.899999999999999" customHeight="1">
      <c r="B22" s="705"/>
      <c r="C22" s="905"/>
      <c r="D22" s="906"/>
      <c r="E22" s="906"/>
      <c r="F22" s="909"/>
      <c r="G22" s="909"/>
      <c r="H22" s="909"/>
      <c r="I22" s="909"/>
      <c r="J22" s="909"/>
      <c r="K22" s="909"/>
      <c r="L22" s="909"/>
      <c r="M22" s="880"/>
      <c r="N22" s="880"/>
      <c r="O22" s="880"/>
      <c r="P22" s="880"/>
      <c r="Q22" s="880"/>
      <c r="R22" s="880"/>
      <c r="S22" s="880" t="s">
        <v>65</v>
      </c>
      <c r="T22" s="880"/>
      <c r="U22" s="880"/>
      <c r="V22" s="16"/>
      <c r="W22" s="880"/>
      <c r="X22" s="881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6"/>
      <c r="AJ22" s="766"/>
      <c r="AK22" s="766"/>
      <c r="AL22" s="767"/>
    </row>
    <row r="23" spans="2:38" s="6" customFormat="1" ht="19.899999999999999" customHeight="1">
      <c r="B23" s="705"/>
      <c r="C23" s="905"/>
      <c r="D23" s="906"/>
      <c r="E23" s="906"/>
      <c r="F23" s="909"/>
      <c r="G23" s="909"/>
      <c r="H23" s="909"/>
      <c r="I23" s="909"/>
      <c r="J23" s="909"/>
      <c r="K23" s="909"/>
      <c r="L23" s="909"/>
      <c r="M23" s="880"/>
      <c r="N23" s="880"/>
      <c r="O23" s="880"/>
      <c r="P23" s="880"/>
      <c r="Q23" s="880"/>
      <c r="R23" s="880"/>
      <c r="S23" s="880" t="s">
        <v>65</v>
      </c>
      <c r="T23" s="880"/>
      <c r="U23" s="880"/>
      <c r="V23" s="16"/>
      <c r="W23" s="880"/>
      <c r="X23" s="881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6"/>
      <c r="AJ23" s="766"/>
      <c r="AK23" s="766"/>
      <c r="AL23" s="767"/>
    </row>
    <row r="24" spans="2:38" s="6" customFormat="1" ht="19.899999999999999" customHeight="1" thickBot="1">
      <c r="B24" s="706"/>
      <c r="C24" s="935"/>
      <c r="D24" s="936"/>
      <c r="E24" s="936"/>
      <c r="F24" s="937"/>
      <c r="G24" s="937"/>
      <c r="H24" s="937"/>
      <c r="I24" s="937"/>
      <c r="J24" s="937"/>
      <c r="K24" s="937"/>
      <c r="L24" s="937"/>
      <c r="M24" s="938"/>
      <c r="N24" s="938"/>
      <c r="O24" s="938"/>
      <c r="P24" s="938"/>
      <c r="Q24" s="938"/>
      <c r="R24" s="938"/>
      <c r="S24" s="938" t="s">
        <v>65</v>
      </c>
      <c r="T24" s="938"/>
      <c r="U24" s="938"/>
      <c r="V24" s="78"/>
      <c r="W24" s="938"/>
      <c r="X24" s="939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71"/>
      <c r="AJ24" s="771"/>
      <c r="AK24" s="771"/>
      <c r="AL24" s="772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4" t="s">
        <v>539</v>
      </c>
      <c r="AB25" s="965"/>
      <c r="AC25" s="716" t="s">
        <v>542</v>
      </c>
      <c r="AD25" s="717"/>
      <c r="AE25" s="717"/>
      <c r="AF25" s="760"/>
      <c r="AG25" s="966" t="s">
        <v>45</v>
      </c>
      <c r="AH25" s="895"/>
      <c r="AI25" s="895"/>
      <c r="AJ25" s="895"/>
      <c r="AK25" s="895"/>
      <c r="AL25" s="967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42" t="s">
        <v>32</v>
      </c>
      <c r="AB26" s="943"/>
      <c r="AC26" s="943"/>
      <c r="AD26" s="943"/>
      <c r="AE26" s="943"/>
      <c r="AF26" s="944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45"/>
      <c r="AB27" s="946"/>
      <c r="AC27" s="946"/>
      <c r="AD27" s="946"/>
      <c r="AE27" s="946"/>
      <c r="AF27" s="947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8" t="s">
        <v>44</v>
      </c>
      <c r="AB32" s="949"/>
      <c r="AC32" s="949"/>
      <c r="AD32" s="949"/>
      <c r="AE32" s="949"/>
      <c r="AF32" s="950"/>
      <c r="AG32" s="954" t="s">
        <v>13</v>
      </c>
      <c r="AH32" s="955"/>
      <c r="AI32" s="955"/>
      <c r="AJ32" s="955"/>
      <c r="AK32" s="955"/>
      <c r="AL32" s="956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51"/>
      <c r="AB33" s="952"/>
      <c r="AC33" s="952"/>
      <c r="AD33" s="952"/>
      <c r="AE33" s="952"/>
      <c r="AF33" s="953"/>
      <c r="AG33" s="957"/>
      <c r="AH33" s="958"/>
      <c r="AI33" s="958"/>
      <c r="AJ33" s="958"/>
      <c r="AK33" s="958"/>
      <c r="AL33" s="959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60" t="s">
        <v>43</v>
      </c>
      <c r="AB34" s="961"/>
      <c r="AC34" s="961"/>
      <c r="AD34" s="961"/>
      <c r="AE34" s="961"/>
      <c r="AF34" s="962"/>
      <c r="AG34" s="957" t="s">
        <v>47</v>
      </c>
      <c r="AH34" s="958"/>
      <c r="AI34" s="958"/>
      <c r="AJ34" s="958"/>
      <c r="AK34" s="958"/>
      <c r="AL34" s="959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60"/>
      <c r="AB35" s="961"/>
      <c r="AC35" s="961"/>
      <c r="AD35" s="961"/>
      <c r="AE35" s="961"/>
      <c r="AF35" s="962"/>
      <c r="AG35" s="957"/>
      <c r="AH35" s="958"/>
      <c r="AI35" s="958"/>
      <c r="AJ35" s="958"/>
      <c r="AK35" s="958"/>
      <c r="AL35" s="959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63" t="s">
        <v>31</v>
      </c>
      <c r="AB36" s="940"/>
      <c r="AC36" s="940"/>
      <c r="AD36" s="940"/>
      <c r="AE36" s="940"/>
      <c r="AF36" s="941"/>
      <c r="AG36" s="940" t="s">
        <v>31</v>
      </c>
      <c r="AH36" s="940"/>
      <c r="AI36" s="940"/>
      <c r="AJ36" s="940"/>
      <c r="AK36" s="940"/>
      <c r="AL36" s="941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9" t="s">
        <v>533</v>
      </c>
      <c r="AB38" s="839"/>
      <c r="AC38" s="839"/>
      <c r="AD38" s="839"/>
      <c r="AE38" s="839"/>
      <c r="AF38" s="839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</sheetData>
  <mergeCells count="132">
    <mergeCell ref="F8:K8"/>
    <mergeCell ref="P4:AA4"/>
    <mergeCell ref="V7:AH7"/>
    <mergeCell ref="V8:X8"/>
    <mergeCell ref="Z8:AG8"/>
    <mergeCell ref="AA38:AF38"/>
    <mergeCell ref="G12:K12"/>
    <mergeCell ref="V9:V14"/>
    <mergeCell ref="W10:X10"/>
    <mergeCell ref="Y10:Y14"/>
    <mergeCell ref="C11:K11"/>
    <mergeCell ref="C9:E9"/>
    <mergeCell ref="M15:O15"/>
    <mergeCell ref="F9:K9"/>
    <mergeCell ref="W17:X17"/>
    <mergeCell ref="L9:N9"/>
    <mergeCell ref="C15:E15"/>
    <mergeCell ref="C16:E16"/>
    <mergeCell ref="C17:E17"/>
    <mergeCell ref="C14:E14"/>
    <mergeCell ref="S16:U16"/>
    <mergeCell ref="C13:K13"/>
    <mergeCell ref="P15:R15"/>
    <mergeCell ref="S19:U19"/>
    <mergeCell ref="AF1:AJ1"/>
    <mergeCell ref="P2:AA2"/>
    <mergeCell ref="AF6:AK6"/>
    <mergeCell ref="P3:AA3"/>
    <mergeCell ref="O8:U8"/>
    <mergeCell ref="AD10:AD14"/>
    <mergeCell ref="AI14:AL14"/>
    <mergeCell ref="AB10:AB14"/>
    <mergeCell ref="AA10:AA14"/>
    <mergeCell ref="Z10:Z14"/>
    <mergeCell ref="AI7:AL8"/>
    <mergeCell ref="W9:X9"/>
    <mergeCell ref="W12:X12"/>
    <mergeCell ref="AE10:AE14"/>
    <mergeCell ref="P14:R14"/>
    <mergeCell ref="S14:U14"/>
    <mergeCell ref="O9:U9"/>
    <mergeCell ref="W13:X14"/>
    <mergeCell ref="AC10:AC14"/>
    <mergeCell ref="L11:U11"/>
    <mergeCell ref="M14:O14"/>
    <mergeCell ref="AI17:AL17"/>
    <mergeCell ref="AF10:AF14"/>
    <mergeCell ref="AI15:AL15"/>
    <mergeCell ref="AI11:AL11"/>
    <mergeCell ref="AG10:AG14"/>
    <mergeCell ref="AH10:AH14"/>
    <mergeCell ref="AI16:AL16"/>
    <mergeCell ref="G10:K10"/>
    <mergeCell ref="P17:R17"/>
    <mergeCell ref="S17:U17"/>
    <mergeCell ref="N10:U10"/>
    <mergeCell ref="F15:L15"/>
    <mergeCell ref="P16:R16"/>
    <mergeCell ref="F17:L17"/>
    <mergeCell ref="S15:U15"/>
    <mergeCell ref="O12:U12"/>
    <mergeCell ref="N13:U13"/>
    <mergeCell ref="W15:X15"/>
    <mergeCell ref="W16:X16"/>
    <mergeCell ref="M16:O16"/>
    <mergeCell ref="M17:O17"/>
    <mergeCell ref="W11:X11"/>
    <mergeCell ref="F16:L16"/>
    <mergeCell ref="F14:L14"/>
    <mergeCell ref="W19:X19"/>
    <mergeCell ref="AI18:AL18"/>
    <mergeCell ref="C20:E20"/>
    <mergeCell ref="P20:R20"/>
    <mergeCell ref="C19:E19"/>
    <mergeCell ref="F19:L19"/>
    <mergeCell ref="M19:O19"/>
    <mergeCell ref="AI19:AL19"/>
    <mergeCell ref="W18:X18"/>
    <mergeCell ref="S18:U18"/>
    <mergeCell ref="C18:E18"/>
    <mergeCell ref="F18:L18"/>
    <mergeCell ref="M18:O18"/>
    <mergeCell ref="P19:R19"/>
    <mergeCell ref="P18:R18"/>
    <mergeCell ref="W23:X23"/>
    <mergeCell ref="AI23:AL23"/>
    <mergeCell ref="S22:U22"/>
    <mergeCell ref="AA25:AB25"/>
    <mergeCell ref="AC25:AF25"/>
    <mergeCell ref="W20:X20"/>
    <mergeCell ref="S24:U24"/>
    <mergeCell ref="W24:X24"/>
    <mergeCell ref="S20:U20"/>
    <mergeCell ref="W21:X21"/>
    <mergeCell ref="S21:U21"/>
    <mergeCell ref="W22:X22"/>
    <mergeCell ref="AI20:AL20"/>
    <mergeCell ref="AG25:AL25"/>
    <mergeCell ref="B25:B36"/>
    <mergeCell ref="B14:B24"/>
    <mergeCell ref="B7:B13"/>
    <mergeCell ref="C7:E7"/>
    <mergeCell ref="F7:U7"/>
    <mergeCell ref="C24:E24"/>
    <mergeCell ref="F24:L24"/>
    <mergeCell ref="M24:O24"/>
    <mergeCell ref="P24:R24"/>
    <mergeCell ref="P23:R23"/>
    <mergeCell ref="P22:R22"/>
    <mergeCell ref="P21:R21"/>
    <mergeCell ref="S23:U23"/>
    <mergeCell ref="C23:E23"/>
    <mergeCell ref="F23:L23"/>
    <mergeCell ref="M23:O23"/>
    <mergeCell ref="F20:L20"/>
    <mergeCell ref="C22:E22"/>
    <mergeCell ref="C21:E21"/>
    <mergeCell ref="F21:L21"/>
    <mergeCell ref="M21:O21"/>
    <mergeCell ref="F22:L22"/>
    <mergeCell ref="M22:O22"/>
    <mergeCell ref="M20:O20"/>
    <mergeCell ref="AA36:AF36"/>
    <mergeCell ref="AG36:AL36"/>
    <mergeCell ref="AA26:AF27"/>
    <mergeCell ref="AA32:AF33"/>
    <mergeCell ref="AG32:AL33"/>
    <mergeCell ref="AA34:AF35"/>
    <mergeCell ref="AG34:AL35"/>
    <mergeCell ref="AI24:AL24"/>
    <mergeCell ref="AI21:AL21"/>
    <mergeCell ref="AI22:AL22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.5" footer="0.25"/>
  <pageSetup scale="80" orientation="landscape" r:id="rId3"/>
  <headerFooter alignWithMargins="0">
    <oddFooter>&amp;RF083-Kit_Request_and_COC_Templates-Landfill
Revised 2013-03-24</oddFooter>
  </headerFooter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6" t="s">
        <v>15</v>
      </c>
      <c r="AG1" s="776"/>
      <c r="AH1" s="776"/>
      <c r="AI1" s="776"/>
      <c r="AJ1" s="910"/>
    </row>
    <row r="2" spans="2:42" s="8" customFormat="1" ht="15" customHeight="1">
      <c r="K2" s="11"/>
      <c r="L2" s="11"/>
      <c r="M2" s="11"/>
      <c r="N2" s="11"/>
      <c r="O2" s="11"/>
      <c r="P2" s="800" t="s">
        <v>30</v>
      </c>
      <c r="Q2" s="800"/>
      <c r="R2" s="800"/>
      <c r="S2" s="800"/>
      <c r="T2" s="800"/>
      <c r="U2" s="800"/>
      <c r="V2" s="800"/>
      <c r="W2" s="800"/>
      <c r="X2" s="800"/>
      <c r="Y2" s="800"/>
      <c r="Z2" s="800"/>
      <c r="AA2" s="800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800" t="s">
        <v>14</v>
      </c>
      <c r="Q3" s="800"/>
      <c r="R3" s="800"/>
      <c r="S3" s="800"/>
      <c r="T3" s="800"/>
      <c r="U3" s="800"/>
      <c r="V3" s="800"/>
      <c r="W3" s="800"/>
      <c r="X3" s="800"/>
      <c r="Y3" s="800"/>
      <c r="Z3" s="800"/>
      <c r="AA3" s="800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1" t="s">
        <v>465</v>
      </c>
      <c r="Q4" s="911"/>
      <c r="R4" s="911"/>
      <c r="S4" s="911"/>
      <c r="T4" s="911"/>
      <c r="U4" s="911"/>
      <c r="V4" s="911"/>
      <c r="W4" s="911"/>
      <c r="X4" s="911"/>
      <c r="Y4" s="911"/>
      <c r="Z4" s="911"/>
      <c r="AA4" s="911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8" t="s">
        <v>24</v>
      </c>
      <c r="AG6" s="778"/>
      <c r="AH6" s="778"/>
      <c r="AI6" s="779"/>
      <c r="AJ6" s="779"/>
      <c r="AK6" s="779"/>
      <c r="AL6" s="15"/>
    </row>
    <row r="7" spans="2:42" s="2" customFormat="1" ht="34.9" customHeight="1" thickTop="1" thickBot="1">
      <c r="B7" s="707" t="s">
        <v>535</v>
      </c>
      <c r="C7" s="973" t="s">
        <v>0</v>
      </c>
      <c r="D7" s="974"/>
      <c r="E7" s="974"/>
      <c r="F7" s="989"/>
      <c r="G7" s="990"/>
      <c r="H7" s="990"/>
      <c r="I7" s="990"/>
      <c r="J7" s="990"/>
      <c r="K7" s="990"/>
      <c r="L7" s="990"/>
      <c r="M7" s="990"/>
      <c r="N7" s="990"/>
      <c r="O7" s="990"/>
      <c r="P7" s="990"/>
      <c r="Q7" s="990"/>
      <c r="R7" s="990"/>
      <c r="S7" s="990"/>
      <c r="T7" s="990"/>
      <c r="U7" s="991"/>
      <c r="V7" s="886" t="s">
        <v>544</v>
      </c>
      <c r="W7" s="887"/>
      <c r="X7" s="887"/>
      <c r="Y7" s="887"/>
      <c r="Z7" s="887"/>
      <c r="AA7" s="887"/>
      <c r="AB7" s="887"/>
      <c r="AC7" s="887"/>
      <c r="AD7" s="887"/>
      <c r="AE7" s="887"/>
      <c r="AF7" s="887"/>
      <c r="AG7" s="887"/>
      <c r="AH7" s="888"/>
      <c r="AI7" s="985" t="s">
        <v>48</v>
      </c>
      <c r="AJ7" s="781"/>
      <c r="AK7" s="781"/>
      <c r="AL7" s="782"/>
    </row>
    <row r="8" spans="2:42" s="2" customFormat="1" ht="34.9" customHeight="1" thickBot="1">
      <c r="B8" s="705"/>
      <c r="C8" s="33" t="s">
        <v>1</v>
      </c>
      <c r="D8" s="33"/>
      <c r="E8" s="33"/>
      <c r="F8" s="893"/>
      <c r="G8" s="893"/>
      <c r="H8" s="893"/>
      <c r="I8" s="893"/>
      <c r="J8" s="893"/>
      <c r="K8" s="893"/>
      <c r="L8" s="5" t="s">
        <v>20</v>
      </c>
      <c r="M8" s="33"/>
      <c r="N8" s="33"/>
      <c r="O8" s="914"/>
      <c r="P8" s="914"/>
      <c r="Q8" s="914"/>
      <c r="R8" s="914"/>
      <c r="S8" s="914"/>
      <c r="T8" s="914"/>
      <c r="U8" s="988"/>
      <c r="V8" s="1010" t="s">
        <v>537</v>
      </c>
      <c r="W8" s="917"/>
      <c r="X8" s="918"/>
      <c r="Y8" s="106"/>
      <c r="Z8" s="1011" t="s">
        <v>85</v>
      </c>
      <c r="AA8" s="1011"/>
      <c r="AB8" s="1011"/>
      <c r="AC8" s="1011"/>
      <c r="AD8" s="1011"/>
      <c r="AE8" s="1011"/>
      <c r="AF8" s="1011"/>
      <c r="AG8" s="1011"/>
      <c r="AH8" s="106"/>
      <c r="AI8" s="783"/>
      <c r="AJ8" s="783"/>
      <c r="AK8" s="783"/>
      <c r="AL8" s="784"/>
    </row>
    <row r="9" spans="2:42" s="2" customFormat="1" ht="40.15" customHeight="1">
      <c r="B9" s="705"/>
      <c r="C9" s="904" t="s">
        <v>37</v>
      </c>
      <c r="D9" s="904"/>
      <c r="E9" s="904"/>
      <c r="F9" s="893"/>
      <c r="G9" s="893"/>
      <c r="H9" s="893"/>
      <c r="I9" s="893"/>
      <c r="J9" s="893"/>
      <c r="K9" s="893"/>
      <c r="L9" s="919" t="s">
        <v>38</v>
      </c>
      <c r="M9" s="986"/>
      <c r="N9" s="986"/>
      <c r="O9" s="914"/>
      <c r="P9" s="914"/>
      <c r="Q9" s="914"/>
      <c r="R9" s="914"/>
      <c r="S9" s="914"/>
      <c r="T9" s="914"/>
      <c r="U9" s="988"/>
      <c r="V9" s="920" t="s">
        <v>58</v>
      </c>
      <c r="W9" s="992"/>
      <c r="X9" s="993"/>
      <c r="Y9" s="111"/>
      <c r="Z9" s="105"/>
      <c r="AA9" s="105" t="s">
        <v>19</v>
      </c>
      <c r="AB9" s="105" t="s">
        <v>19</v>
      </c>
      <c r="AC9" s="105" t="s">
        <v>19</v>
      </c>
      <c r="AD9" s="105" t="s">
        <v>19</v>
      </c>
      <c r="AE9" s="105"/>
      <c r="AF9" s="105" t="s">
        <v>19</v>
      </c>
      <c r="AG9" s="105" t="s">
        <v>19</v>
      </c>
      <c r="AH9" s="105" t="s">
        <v>19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923"/>
      <c r="H10" s="923"/>
      <c r="I10" s="923"/>
      <c r="J10" s="923"/>
      <c r="K10" s="923"/>
      <c r="L10" s="34" t="s">
        <v>28</v>
      </c>
      <c r="M10" s="34"/>
      <c r="N10" s="923"/>
      <c r="O10" s="923"/>
      <c r="P10" s="923"/>
      <c r="Q10" s="923"/>
      <c r="R10" s="923"/>
      <c r="S10" s="923"/>
      <c r="T10" s="923"/>
      <c r="U10" s="983"/>
      <c r="V10" s="852"/>
      <c r="W10" s="930" t="s">
        <v>35</v>
      </c>
      <c r="X10" s="931"/>
      <c r="Y10" s="1018" t="s">
        <v>481</v>
      </c>
      <c r="Z10" s="874" t="s">
        <v>482</v>
      </c>
      <c r="AA10" s="874" t="s">
        <v>483</v>
      </c>
      <c r="AB10" s="874" t="s">
        <v>484</v>
      </c>
      <c r="AC10" s="874" t="s">
        <v>475</v>
      </c>
      <c r="AD10" s="874" t="s">
        <v>485</v>
      </c>
      <c r="AE10" s="874" t="s">
        <v>486</v>
      </c>
      <c r="AF10" s="874"/>
      <c r="AG10" s="1012"/>
      <c r="AH10" s="1015"/>
      <c r="AI10" s="39"/>
      <c r="AJ10" s="39"/>
      <c r="AK10" s="39"/>
      <c r="AL10" s="40"/>
      <c r="AP10" s="29"/>
    </row>
    <row r="11" spans="2:42" s="2" customFormat="1" ht="18" customHeight="1">
      <c r="B11" s="705"/>
      <c r="C11" s="836"/>
      <c r="D11" s="836"/>
      <c r="E11" s="836"/>
      <c r="F11" s="836"/>
      <c r="G11" s="836"/>
      <c r="H11" s="836"/>
      <c r="I11" s="836"/>
      <c r="J11" s="836"/>
      <c r="K11" s="836"/>
      <c r="L11" s="924"/>
      <c r="M11" s="924"/>
      <c r="N11" s="924"/>
      <c r="O11" s="924"/>
      <c r="P11" s="924"/>
      <c r="Q11" s="924"/>
      <c r="R11" s="924"/>
      <c r="S11" s="924"/>
      <c r="T11" s="924"/>
      <c r="U11" s="984"/>
      <c r="V11" s="852"/>
      <c r="W11" s="870" t="s">
        <v>22</v>
      </c>
      <c r="X11" s="871"/>
      <c r="Y11" s="1019"/>
      <c r="Z11" s="875"/>
      <c r="AA11" s="875"/>
      <c r="AB11" s="875"/>
      <c r="AC11" s="875"/>
      <c r="AD11" s="875"/>
      <c r="AE11" s="875"/>
      <c r="AF11" s="875"/>
      <c r="AG11" s="1013"/>
      <c r="AH11" s="1016"/>
      <c r="AI11" s="39"/>
      <c r="AJ11" s="39"/>
      <c r="AK11" s="39"/>
      <c r="AL11" s="40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23"/>
      <c r="H12" s="923"/>
      <c r="I12" s="923"/>
      <c r="J12" s="923"/>
      <c r="K12" s="923"/>
      <c r="L12" s="34" t="s">
        <v>4</v>
      </c>
      <c r="M12" s="34"/>
      <c r="N12" s="34"/>
      <c r="O12" s="923"/>
      <c r="P12" s="923"/>
      <c r="Q12" s="923"/>
      <c r="R12" s="923"/>
      <c r="S12" s="923"/>
      <c r="T12" s="923"/>
      <c r="U12" s="983"/>
      <c r="V12" s="852"/>
      <c r="W12" s="870" t="s">
        <v>23</v>
      </c>
      <c r="X12" s="871"/>
      <c r="Y12" s="1019"/>
      <c r="Z12" s="875"/>
      <c r="AA12" s="875"/>
      <c r="AB12" s="875"/>
      <c r="AC12" s="875"/>
      <c r="AD12" s="875"/>
      <c r="AE12" s="875"/>
      <c r="AF12" s="875"/>
      <c r="AG12" s="1013"/>
      <c r="AH12" s="1016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87"/>
      <c r="D13" s="987"/>
      <c r="E13" s="987"/>
      <c r="F13" s="987"/>
      <c r="G13" s="987"/>
      <c r="H13" s="987"/>
      <c r="I13" s="987"/>
      <c r="J13" s="987"/>
      <c r="K13" s="987"/>
      <c r="L13" s="35" t="s">
        <v>29</v>
      </c>
      <c r="M13" s="35"/>
      <c r="N13" s="994"/>
      <c r="O13" s="994"/>
      <c r="P13" s="994"/>
      <c r="Q13" s="994"/>
      <c r="R13" s="994"/>
      <c r="S13" s="994"/>
      <c r="T13" s="994"/>
      <c r="U13" s="995"/>
      <c r="V13" s="852"/>
      <c r="W13" s="882" t="s">
        <v>39</v>
      </c>
      <c r="X13" s="883"/>
      <c r="Y13" s="1019"/>
      <c r="Z13" s="875"/>
      <c r="AA13" s="875"/>
      <c r="AB13" s="875"/>
      <c r="AC13" s="875"/>
      <c r="AD13" s="875"/>
      <c r="AE13" s="875"/>
      <c r="AF13" s="875"/>
      <c r="AG13" s="1013"/>
      <c r="AH13" s="1016"/>
      <c r="AI13" s="39"/>
      <c r="AJ13" s="39"/>
      <c r="AK13" s="39"/>
      <c r="AL13" s="40"/>
      <c r="AP13" s="29"/>
    </row>
    <row r="14" spans="2:42" s="6" customFormat="1" ht="40.15" customHeight="1" thickTop="1">
      <c r="B14" s="707" t="s">
        <v>536</v>
      </c>
      <c r="C14" s="996" t="s">
        <v>34</v>
      </c>
      <c r="D14" s="997"/>
      <c r="E14" s="997"/>
      <c r="F14" s="976" t="s">
        <v>5</v>
      </c>
      <c r="G14" s="976"/>
      <c r="H14" s="976"/>
      <c r="I14" s="976"/>
      <c r="J14" s="976"/>
      <c r="K14" s="976"/>
      <c r="L14" s="976"/>
      <c r="M14" s="975" t="s">
        <v>56</v>
      </c>
      <c r="N14" s="976"/>
      <c r="O14" s="976"/>
      <c r="P14" s="975" t="s">
        <v>57</v>
      </c>
      <c r="Q14" s="976"/>
      <c r="R14" s="976"/>
      <c r="S14" s="980" t="s">
        <v>27</v>
      </c>
      <c r="T14" s="981"/>
      <c r="U14" s="982"/>
      <c r="V14" s="853"/>
      <c r="W14" s="884"/>
      <c r="X14" s="885"/>
      <c r="Y14" s="1020"/>
      <c r="Z14" s="876"/>
      <c r="AA14" s="876"/>
      <c r="AB14" s="876"/>
      <c r="AC14" s="876"/>
      <c r="AD14" s="876"/>
      <c r="AE14" s="876"/>
      <c r="AF14" s="876"/>
      <c r="AG14" s="1014"/>
      <c r="AH14" s="1017"/>
      <c r="AI14" s="763" t="s">
        <v>40</v>
      </c>
      <c r="AJ14" s="764"/>
      <c r="AK14" s="764"/>
      <c r="AL14" s="765"/>
    </row>
    <row r="15" spans="2:42" s="17" customFormat="1" ht="19.899999999999999" customHeight="1">
      <c r="B15" s="705"/>
      <c r="C15" s="905"/>
      <c r="D15" s="906"/>
      <c r="E15" s="906"/>
      <c r="F15" s="909"/>
      <c r="G15" s="909"/>
      <c r="H15" s="909"/>
      <c r="I15" s="909"/>
      <c r="J15" s="909"/>
      <c r="K15" s="909"/>
      <c r="L15" s="909"/>
      <c r="M15" s="880"/>
      <c r="N15" s="880"/>
      <c r="O15" s="880"/>
      <c r="P15" s="880"/>
      <c r="Q15" s="880"/>
      <c r="R15" s="880"/>
      <c r="S15" s="880"/>
      <c r="T15" s="880"/>
      <c r="U15" s="880"/>
      <c r="V15" s="16"/>
      <c r="W15" s="880"/>
      <c r="X15" s="881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6"/>
      <c r="AJ15" s="766"/>
      <c r="AK15" s="766"/>
      <c r="AL15" s="767"/>
    </row>
    <row r="16" spans="2:42" s="17" customFormat="1" ht="19.899999999999999" customHeight="1">
      <c r="B16" s="705"/>
      <c r="C16" s="905"/>
      <c r="D16" s="906"/>
      <c r="E16" s="906"/>
      <c r="F16" s="932"/>
      <c r="G16" s="933"/>
      <c r="H16" s="933"/>
      <c r="I16" s="933"/>
      <c r="J16" s="933"/>
      <c r="K16" s="933"/>
      <c r="L16" s="934"/>
      <c r="M16" s="880"/>
      <c r="N16" s="880"/>
      <c r="O16" s="880"/>
      <c r="P16" s="880"/>
      <c r="Q16" s="880"/>
      <c r="R16" s="880"/>
      <c r="S16" s="880"/>
      <c r="T16" s="880"/>
      <c r="U16" s="880"/>
      <c r="V16" s="16"/>
      <c r="W16" s="880"/>
      <c r="X16" s="881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6"/>
      <c r="AJ16" s="766"/>
      <c r="AK16" s="766"/>
      <c r="AL16" s="767"/>
    </row>
    <row r="17" spans="2:38" s="6" customFormat="1" ht="19.899999999999999" customHeight="1">
      <c r="B17" s="705"/>
      <c r="C17" s="905"/>
      <c r="D17" s="906"/>
      <c r="E17" s="906"/>
      <c r="F17" s="909"/>
      <c r="G17" s="909"/>
      <c r="H17" s="909"/>
      <c r="I17" s="909"/>
      <c r="J17" s="909"/>
      <c r="K17" s="909"/>
      <c r="L17" s="909"/>
      <c r="M17" s="880"/>
      <c r="N17" s="880"/>
      <c r="O17" s="880"/>
      <c r="P17" s="880"/>
      <c r="Q17" s="880"/>
      <c r="R17" s="880"/>
      <c r="S17" s="880"/>
      <c r="T17" s="880"/>
      <c r="U17" s="880"/>
      <c r="V17" s="16"/>
      <c r="W17" s="880"/>
      <c r="X17" s="881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6"/>
      <c r="AJ17" s="766"/>
      <c r="AK17" s="766"/>
      <c r="AL17" s="767"/>
    </row>
    <row r="18" spans="2:38" s="6" customFormat="1" ht="19.899999999999999" customHeight="1">
      <c r="B18" s="705"/>
      <c r="C18" s="905"/>
      <c r="D18" s="906"/>
      <c r="E18" s="906"/>
      <c r="F18" s="909"/>
      <c r="G18" s="909"/>
      <c r="H18" s="909"/>
      <c r="I18" s="909"/>
      <c r="J18" s="909"/>
      <c r="K18" s="909"/>
      <c r="L18" s="909"/>
      <c r="M18" s="880"/>
      <c r="N18" s="880"/>
      <c r="O18" s="880"/>
      <c r="P18" s="880"/>
      <c r="Q18" s="880"/>
      <c r="R18" s="880"/>
      <c r="S18" s="880"/>
      <c r="T18" s="880"/>
      <c r="U18" s="880"/>
      <c r="V18" s="16"/>
      <c r="W18" s="880"/>
      <c r="X18" s="881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6"/>
      <c r="AJ18" s="766"/>
      <c r="AK18" s="766"/>
      <c r="AL18" s="767"/>
    </row>
    <row r="19" spans="2:38" s="6" customFormat="1" ht="19.899999999999999" customHeight="1">
      <c r="B19" s="705"/>
      <c r="C19" s="905"/>
      <c r="D19" s="906"/>
      <c r="E19" s="906"/>
      <c r="F19" s="909"/>
      <c r="G19" s="909"/>
      <c r="H19" s="909"/>
      <c r="I19" s="909"/>
      <c r="J19" s="909"/>
      <c r="K19" s="909"/>
      <c r="L19" s="909"/>
      <c r="M19" s="880"/>
      <c r="N19" s="880"/>
      <c r="O19" s="880"/>
      <c r="P19" s="880"/>
      <c r="Q19" s="880"/>
      <c r="R19" s="880"/>
      <c r="S19" s="880"/>
      <c r="T19" s="880"/>
      <c r="U19" s="880"/>
      <c r="V19" s="16"/>
      <c r="W19" s="880"/>
      <c r="X19" s="881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6"/>
      <c r="AJ19" s="766"/>
      <c r="AK19" s="766"/>
      <c r="AL19" s="767"/>
    </row>
    <row r="20" spans="2:38" s="6" customFormat="1" ht="19.899999999999999" customHeight="1">
      <c r="B20" s="705"/>
      <c r="C20" s="905"/>
      <c r="D20" s="906"/>
      <c r="E20" s="906"/>
      <c r="F20" s="909"/>
      <c r="G20" s="909"/>
      <c r="H20" s="909"/>
      <c r="I20" s="909"/>
      <c r="J20" s="909"/>
      <c r="K20" s="909"/>
      <c r="L20" s="909"/>
      <c r="M20" s="880"/>
      <c r="N20" s="880"/>
      <c r="O20" s="880"/>
      <c r="P20" s="880"/>
      <c r="Q20" s="880"/>
      <c r="R20" s="880"/>
      <c r="S20" s="880"/>
      <c r="T20" s="880"/>
      <c r="U20" s="880"/>
      <c r="V20" s="16"/>
      <c r="W20" s="880"/>
      <c r="X20" s="881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6"/>
      <c r="AJ20" s="766"/>
      <c r="AK20" s="766"/>
      <c r="AL20" s="767"/>
    </row>
    <row r="21" spans="2:38" s="6" customFormat="1" ht="19.899999999999999" customHeight="1">
      <c r="B21" s="705"/>
      <c r="C21" s="905"/>
      <c r="D21" s="906"/>
      <c r="E21" s="906"/>
      <c r="F21" s="909"/>
      <c r="G21" s="909"/>
      <c r="H21" s="909"/>
      <c r="I21" s="909"/>
      <c r="J21" s="909"/>
      <c r="K21" s="909"/>
      <c r="L21" s="909"/>
      <c r="M21" s="880"/>
      <c r="N21" s="880"/>
      <c r="O21" s="880"/>
      <c r="P21" s="880"/>
      <c r="Q21" s="880"/>
      <c r="R21" s="880"/>
      <c r="S21" s="880"/>
      <c r="T21" s="880"/>
      <c r="U21" s="880"/>
      <c r="V21" s="16"/>
      <c r="W21" s="880"/>
      <c r="X21" s="881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6"/>
      <c r="AJ21" s="766"/>
      <c r="AK21" s="766"/>
      <c r="AL21" s="767"/>
    </row>
    <row r="22" spans="2:38" s="6" customFormat="1" ht="19.899999999999999" customHeight="1">
      <c r="B22" s="705"/>
      <c r="C22" s="905"/>
      <c r="D22" s="906"/>
      <c r="E22" s="906"/>
      <c r="F22" s="909"/>
      <c r="G22" s="909"/>
      <c r="H22" s="909"/>
      <c r="I22" s="909"/>
      <c r="J22" s="909"/>
      <c r="K22" s="909"/>
      <c r="L22" s="909"/>
      <c r="M22" s="880"/>
      <c r="N22" s="880"/>
      <c r="O22" s="880"/>
      <c r="P22" s="880"/>
      <c r="Q22" s="880"/>
      <c r="R22" s="880"/>
      <c r="S22" s="880"/>
      <c r="T22" s="880"/>
      <c r="U22" s="880"/>
      <c r="V22" s="16"/>
      <c r="W22" s="880"/>
      <c r="X22" s="881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6"/>
      <c r="AJ22" s="766"/>
      <c r="AK22" s="766"/>
      <c r="AL22" s="767"/>
    </row>
    <row r="23" spans="2:38" s="6" customFormat="1" ht="19.899999999999999" customHeight="1">
      <c r="B23" s="705"/>
      <c r="C23" s="905"/>
      <c r="D23" s="906"/>
      <c r="E23" s="906"/>
      <c r="F23" s="909"/>
      <c r="G23" s="909"/>
      <c r="H23" s="909"/>
      <c r="I23" s="909"/>
      <c r="J23" s="909"/>
      <c r="K23" s="909"/>
      <c r="L23" s="909"/>
      <c r="M23" s="880"/>
      <c r="N23" s="880"/>
      <c r="O23" s="880"/>
      <c r="P23" s="880"/>
      <c r="Q23" s="880"/>
      <c r="R23" s="880"/>
      <c r="S23" s="880"/>
      <c r="T23" s="880"/>
      <c r="U23" s="880"/>
      <c r="V23" s="16"/>
      <c r="W23" s="880"/>
      <c r="X23" s="881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6"/>
      <c r="AJ23" s="766"/>
      <c r="AK23" s="766"/>
      <c r="AL23" s="767"/>
    </row>
    <row r="24" spans="2:38" s="6" customFormat="1" ht="19.899999999999999" customHeight="1" thickBot="1">
      <c r="B24" s="706"/>
      <c r="C24" s="935"/>
      <c r="D24" s="936"/>
      <c r="E24" s="936"/>
      <c r="F24" s="937"/>
      <c r="G24" s="937"/>
      <c r="H24" s="937"/>
      <c r="I24" s="937"/>
      <c r="J24" s="937"/>
      <c r="K24" s="937"/>
      <c r="L24" s="937"/>
      <c r="M24" s="938"/>
      <c r="N24" s="938"/>
      <c r="O24" s="938"/>
      <c r="P24" s="938"/>
      <c r="Q24" s="938"/>
      <c r="R24" s="938"/>
      <c r="S24" s="938"/>
      <c r="T24" s="938"/>
      <c r="U24" s="938"/>
      <c r="V24" s="78"/>
      <c r="W24" s="938"/>
      <c r="X24" s="939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71"/>
      <c r="AJ24" s="771"/>
      <c r="AK24" s="771"/>
      <c r="AL24" s="772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4" t="s">
        <v>539</v>
      </c>
      <c r="AB25" s="965"/>
      <c r="AC25" s="966" t="s">
        <v>542</v>
      </c>
      <c r="AD25" s="895"/>
      <c r="AE25" s="895"/>
      <c r="AF25" s="896"/>
      <c r="AG25" s="966" t="s">
        <v>45</v>
      </c>
      <c r="AH25" s="895"/>
      <c r="AI25" s="895"/>
      <c r="AJ25" s="895"/>
      <c r="AK25" s="895"/>
      <c r="AL25" s="967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1001" t="s">
        <v>32</v>
      </c>
      <c r="AB26" s="1002"/>
      <c r="AC26" s="1002"/>
      <c r="AD26" s="1002"/>
      <c r="AE26" s="1002"/>
      <c r="AF26" s="1003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1004"/>
      <c r="AB27" s="1005"/>
      <c r="AC27" s="1005"/>
      <c r="AD27" s="1005"/>
      <c r="AE27" s="1005"/>
      <c r="AF27" s="1006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8" t="s">
        <v>44</v>
      </c>
      <c r="AB32" s="949"/>
      <c r="AC32" s="949"/>
      <c r="AD32" s="949"/>
      <c r="AE32" s="949"/>
      <c r="AF32" s="950"/>
      <c r="AG32" s="954" t="s">
        <v>13</v>
      </c>
      <c r="AH32" s="955"/>
      <c r="AI32" s="955"/>
      <c r="AJ32" s="955"/>
      <c r="AK32" s="955"/>
      <c r="AL32" s="956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51"/>
      <c r="AB33" s="952"/>
      <c r="AC33" s="952"/>
      <c r="AD33" s="952"/>
      <c r="AE33" s="952"/>
      <c r="AF33" s="953"/>
      <c r="AG33" s="957"/>
      <c r="AH33" s="958"/>
      <c r="AI33" s="958"/>
      <c r="AJ33" s="958"/>
      <c r="AK33" s="958"/>
      <c r="AL33" s="959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60" t="s">
        <v>43</v>
      </c>
      <c r="AB34" s="961"/>
      <c r="AC34" s="961"/>
      <c r="AD34" s="961"/>
      <c r="AE34" s="961"/>
      <c r="AF34" s="962"/>
      <c r="AG34" s="957" t="s">
        <v>47</v>
      </c>
      <c r="AH34" s="958"/>
      <c r="AI34" s="958"/>
      <c r="AJ34" s="958"/>
      <c r="AK34" s="958"/>
      <c r="AL34" s="959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60"/>
      <c r="AB35" s="961"/>
      <c r="AC35" s="961"/>
      <c r="AD35" s="961"/>
      <c r="AE35" s="961"/>
      <c r="AF35" s="962"/>
      <c r="AG35" s="957"/>
      <c r="AH35" s="958"/>
      <c r="AI35" s="958"/>
      <c r="AJ35" s="958"/>
      <c r="AK35" s="958"/>
      <c r="AL35" s="959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63" t="s">
        <v>31</v>
      </c>
      <c r="AB36" s="940"/>
      <c r="AC36" s="940"/>
      <c r="AD36" s="940"/>
      <c r="AE36" s="940"/>
      <c r="AF36" s="941"/>
      <c r="AG36" s="940" t="s">
        <v>31</v>
      </c>
      <c r="AH36" s="940"/>
      <c r="AI36" s="940"/>
      <c r="AJ36" s="940"/>
      <c r="AK36" s="940"/>
      <c r="AL36" s="941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9" t="s">
        <v>533</v>
      </c>
      <c r="AB38" s="839"/>
      <c r="AC38" s="839"/>
      <c r="AD38" s="839"/>
      <c r="AE38" s="839"/>
      <c r="AF38" s="839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W9:X9"/>
    <mergeCell ref="AA36:AF36"/>
    <mergeCell ref="AI19:AL19"/>
    <mergeCell ref="AG10:AG14"/>
    <mergeCell ref="AH10:AH14"/>
    <mergeCell ref="W23:X23"/>
    <mergeCell ref="W21:X21"/>
    <mergeCell ref="AG34:AL35"/>
    <mergeCell ref="AA25:AB25"/>
    <mergeCell ref="AI23:AL23"/>
    <mergeCell ref="W22:X22"/>
    <mergeCell ref="AI20:AL20"/>
    <mergeCell ref="AI21:AL21"/>
    <mergeCell ref="W20:X20"/>
    <mergeCell ref="AI17:AL17"/>
    <mergeCell ref="AI16:AL16"/>
    <mergeCell ref="W24:X24"/>
    <mergeCell ref="AI14:AL14"/>
    <mergeCell ref="AI15:AL15"/>
    <mergeCell ref="W13:X14"/>
    <mergeCell ref="AA10:AA14"/>
    <mergeCell ref="W11:X11"/>
    <mergeCell ref="Y10:Y14"/>
    <mergeCell ref="AI24:AL24"/>
    <mergeCell ref="C23:E23"/>
    <mergeCell ref="F23:L23"/>
    <mergeCell ref="P23:R23"/>
    <mergeCell ref="S23:U23"/>
    <mergeCell ref="AG36:AL36"/>
    <mergeCell ref="AA26:AF27"/>
    <mergeCell ref="AA32:AF33"/>
    <mergeCell ref="AG32:AL33"/>
    <mergeCell ref="AA34:AF35"/>
    <mergeCell ref="AC25:AF25"/>
    <mergeCell ref="AG25:AL25"/>
    <mergeCell ref="P22:R22"/>
    <mergeCell ref="S22:U22"/>
    <mergeCell ref="M21:O21"/>
    <mergeCell ref="C22:E22"/>
    <mergeCell ref="C24:E24"/>
    <mergeCell ref="F24:L24"/>
    <mergeCell ref="M24:O24"/>
    <mergeCell ref="P24:R24"/>
    <mergeCell ref="S24:U24"/>
    <mergeCell ref="M23:O23"/>
    <mergeCell ref="M19:O19"/>
    <mergeCell ref="P19:R19"/>
    <mergeCell ref="S19:U19"/>
    <mergeCell ref="W19:X19"/>
    <mergeCell ref="P20:R20"/>
    <mergeCell ref="AI22:AL22"/>
    <mergeCell ref="AI18:AL18"/>
    <mergeCell ref="C17:E17"/>
    <mergeCell ref="F17:L17"/>
    <mergeCell ref="C18:E18"/>
    <mergeCell ref="F18:L18"/>
    <mergeCell ref="M18:O18"/>
    <mergeCell ref="P18:R18"/>
    <mergeCell ref="W18:X18"/>
    <mergeCell ref="S18:U18"/>
    <mergeCell ref="W17:X17"/>
    <mergeCell ref="M20:O20"/>
    <mergeCell ref="S20:U20"/>
    <mergeCell ref="M17:O17"/>
    <mergeCell ref="P21:R21"/>
    <mergeCell ref="S21:U21"/>
    <mergeCell ref="C21:E21"/>
    <mergeCell ref="F21:L21"/>
    <mergeCell ref="M22:O22"/>
    <mergeCell ref="P15:R15"/>
    <mergeCell ref="S16:U16"/>
    <mergeCell ref="W16:X16"/>
    <mergeCell ref="AD10:AD14"/>
    <mergeCell ref="AF10:AF14"/>
    <mergeCell ref="P16:R16"/>
    <mergeCell ref="N10:U10"/>
    <mergeCell ref="L11:U11"/>
    <mergeCell ref="W15:X15"/>
    <mergeCell ref="M15:O15"/>
    <mergeCell ref="P14:R14"/>
    <mergeCell ref="O12:U12"/>
    <mergeCell ref="M14:O14"/>
    <mergeCell ref="F15:L15"/>
    <mergeCell ref="V9:V14"/>
    <mergeCell ref="W10:X10"/>
    <mergeCell ref="F9:K9"/>
    <mergeCell ref="O9:U9"/>
    <mergeCell ref="C11:K11"/>
    <mergeCell ref="G10:K10"/>
    <mergeCell ref="C14:E14"/>
    <mergeCell ref="G12:K12"/>
    <mergeCell ref="AE10:AE14"/>
    <mergeCell ref="W12:X12"/>
    <mergeCell ref="AB10:AB14"/>
    <mergeCell ref="AC10:AC14"/>
    <mergeCell ref="Z10:Z14"/>
    <mergeCell ref="AF1:AJ1"/>
    <mergeCell ref="P2:AA2"/>
    <mergeCell ref="P3:AA3"/>
    <mergeCell ref="AF6:AK6"/>
    <mergeCell ref="P4:AA4"/>
    <mergeCell ref="AI7:AL8"/>
    <mergeCell ref="V7:AH7"/>
    <mergeCell ref="V8:X8"/>
    <mergeCell ref="F7:U7"/>
    <mergeCell ref="Z8:AG8"/>
    <mergeCell ref="B25:B36"/>
    <mergeCell ref="B14:B24"/>
    <mergeCell ref="B7:B13"/>
    <mergeCell ref="C7:E7"/>
    <mergeCell ref="C13:K13"/>
    <mergeCell ref="C16:E16"/>
    <mergeCell ref="F16:L16"/>
    <mergeCell ref="C20:E20"/>
    <mergeCell ref="F20:L20"/>
    <mergeCell ref="F14:L14"/>
    <mergeCell ref="C19:E19"/>
    <mergeCell ref="F19:L19"/>
    <mergeCell ref="F22:L22"/>
    <mergeCell ref="C9:E9"/>
    <mergeCell ref="L9:N9"/>
    <mergeCell ref="F8:K8"/>
    <mergeCell ref="N13:U13"/>
    <mergeCell ref="S17:U17"/>
    <mergeCell ref="P17:R17"/>
    <mergeCell ref="M16:O16"/>
    <mergeCell ref="O8:U8"/>
    <mergeCell ref="S14:U14"/>
    <mergeCell ref="C15:E15"/>
    <mergeCell ref="S15:U15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&amp;RF083-Kit_Request_and_COC_Template-UST
Revised 2013-03-24</oddFooter>
  </headerFooter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6" t="s">
        <v>15</v>
      </c>
      <c r="AG1" s="776"/>
      <c r="AH1" s="776"/>
      <c r="AI1" s="776"/>
      <c r="AJ1" s="910"/>
    </row>
    <row r="2" spans="2:42" s="8" customFormat="1" ht="15" customHeight="1">
      <c r="K2" s="11"/>
      <c r="L2" s="11"/>
      <c r="M2" s="11"/>
      <c r="N2" s="11"/>
      <c r="O2" s="11"/>
      <c r="P2" s="800" t="s">
        <v>30</v>
      </c>
      <c r="Q2" s="800"/>
      <c r="R2" s="800"/>
      <c r="S2" s="800"/>
      <c r="T2" s="800"/>
      <c r="U2" s="800"/>
      <c r="V2" s="800"/>
      <c r="W2" s="800"/>
      <c r="X2" s="800"/>
      <c r="Y2" s="800"/>
      <c r="Z2" s="800"/>
      <c r="AA2" s="800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800" t="s">
        <v>14</v>
      </c>
      <c r="Q3" s="800"/>
      <c r="R3" s="800"/>
      <c r="S3" s="800"/>
      <c r="T3" s="800"/>
      <c r="U3" s="800"/>
      <c r="V3" s="800"/>
      <c r="W3" s="800"/>
      <c r="X3" s="800"/>
      <c r="Y3" s="800"/>
      <c r="Z3" s="800"/>
      <c r="AA3" s="800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1" t="s">
        <v>466</v>
      </c>
      <c r="Q4" s="911"/>
      <c r="R4" s="911"/>
      <c r="S4" s="911"/>
      <c r="T4" s="911"/>
      <c r="U4" s="911"/>
      <c r="V4" s="911"/>
      <c r="W4" s="911"/>
      <c r="X4" s="911"/>
      <c r="Y4" s="911"/>
      <c r="Z4" s="911"/>
      <c r="AA4" s="911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8" t="s">
        <v>24</v>
      </c>
      <c r="AG6" s="778"/>
      <c r="AH6" s="778"/>
      <c r="AI6" s="779"/>
      <c r="AJ6" s="779"/>
      <c r="AK6" s="779"/>
      <c r="AL6" s="15"/>
    </row>
    <row r="7" spans="2:42" s="2" customFormat="1" ht="34.9" customHeight="1" thickTop="1" thickBot="1">
      <c r="B7" s="707" t="s">
        <v>535</v>
      </c>
      <c r="C7" s="32" t="s">
        <v>0</v>
      </c>
      <c r="D7" s="32"/>
      <c r="E7" s="7"/>
      <c r="F7" s="1022"/>
      <c r="G7" s="1023"/>
      <c r="H7" s="1023"/>
      <c r="I7" s="1023"/>
      <c r="J7" s="1023"/>
      <c r="K7" s="1023"/>
      <c r="L7" s="1023"/>
      <c r="M7" s="1023"/>
      <c r="N7" s="1023"/>
      <c r="O7" s="1023"/>
      <c r="P7" s="1023"/>
      <c r="Q7" s="1023"/>
      <c r="R7" s="1023"/>
      <c r="S7" s="1023"/>
      <c r="T7" s="1023"/>
      <c r="U7" s="1023"/>
      <c r="V7" s="886" t="s">
        <v>544</v>
      </c>
      <c r="W7" s="887"/>
      <c r="X7" s="887"/>
      <c r="Y7" s="887"/>
      <c r="Z7" s="887"/>
      <c r="AA7" s="887"/>
      <c r="AB7" s="887"/>
      <c r="AC7" s="887"/>
      <c r="AD7" s="887"/>
      <c r="AE7" s="887"/>
      <c r="AF7" s="887"/>
      <c r="AG7" s="887"/>
      <c r="AH7" s="888"/>
      <c r="AI7" s="865" t="s">
        <v>48</v>
      </c>
      <c r="AJ7" s="866"/>
      <c r="AK7" s="866"/>
      <c r="AL7" s="867"/>
    </row>
    <row r="8" spans="2:42" s="2" customFormat="1" ht="36" customHeight="1" thickBot="1">
      <c r="B8" s="705"/>
      <c r="C8" s="33" t="s">
        <v>1</v>
      </c>
      <c r="D8" s="33"/>
      <c r="E8" s="33"/>
      <c r="F8" s="893"/>
      <c r="G8" s="893"/>
      <c r="H8" s="893"/>
      <c r="I8" s="893"/>
      <c r="J8" s="893"/>
      <c r="K8" s="893"/>
      <c r="L8" s="5" t="s">
        <v>20</v>
      </c>
      <c r="M8" s="33"/>
      <c r="N8" s="33"/>
      <c r="O8" s="33"/>
      <c r="P8" s="33"/>
      <c r="Q8" s="33"/>
      <c r="R8" s="33"/>
      <c r="S8" s="33"/>
      <c r="T8" s="33"/>
      <c r="U8" s="77"/>
      <c r="V8" s="971" t="s">
        <v>537</v>
      </c>
      <c r="W8" s="972"/>
      <c r="X8" s="1021"/>
      <c r="Y8" s="107"/>
      <c r="Z8" s="1011" t="s">
        <v>85</v>
      </c>
      <c r="AA8" s="1011"/>
      <c r="AB8" s="1011"/>
      <c r="AC8" s="1011"/>
      <c r="AD8" s="1011"/>
      <c r="AE8" s="1011"/>
      <c r="AF8" s="1011"/>
      <c r="AG8" s="1011"/>
      <c r="AH8" s="107"/>
      <c r="AI8" s="868"/>
      <c r="AJ8" s="868"/>
      <c r="AK8" s="868"/>
      <c r="AL8" s="869"/>
    </row>
    <row r="9" spans="2:42" s="2" customFormat="1" ht="40.15" customHeight="1">
      <c r="B9" s="705"/>
      <c r="C9" s="904" t="s">
        <v>37</v>
      </c>
      <c r="D9" s="904"/>
      <c r="E9" s="904"/>
      <c r="F9" s="5"/>
      <c r="G9" s="88"/>
      <c r="H9" s="88"/>
      <c r="I9" s="88"/>
      <c r="J9" s="88"/>
      <c r="K9" s="88"/>
      <c r="L9" s="919" t="s">
        <v>38</v>
      </c>
      <c r="M9" s="986"/>
      <c r="N9" s="986"/>
      <c r="O9" s="88"/>
      <c r="P9" s="88"/>
      <c r="Q9" s="88"/>
      <c r="R9" s="88"/>
      <c r="S9" s="88"/>
      <c r="T9" s="88"/>
      <c r="U9" s="89"/>
      <c r="V9" s="920" t="s">
        <v>58</v>
      </c>
      <c r="W9" s="992"/>
      <c r="X9" s="993"/>
      <c r="Y9" s="111" t="s">
        <v>468</v>
      </c>
      <c r="Z9" s="109" t="s">
        <v>468</v>
      </c>
      <c r="AA9" s="109" t="s">
        <v>468</v>
      </c>
      <c r="AB9" s="109" t="s">
        <v>468</v>
      </c>
      <c r="AC9" s="109" t="s">
        <v>468</v>
      </c>
      <c r="AD9" s="109" t="s">
        <v>468</v>
      </c>
      <c r="AE9" s="109" t="s">
        <v>468</v>
      </c>
      <c r="AF9" s="109" t="s">
        <v>19</v>
      </c>
      <c r="AG9" s="109" t="s">
        <v>19</v>
      </c>
      <c r="AH9" s="109" t="s">
        <v>19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34"/>
      <c r="H10" s="34"/>
      <c r="I10" s="34"/>
      <c r="J10" s="34"/>
      <c r="K10" s="34"/>
      <c r="L10" s="34" t="s">
        <v>28</v>
      </c>
      <c r="M10" s="34"/>
      <c r="N10" s="34"/>
      <c r="O10" s="34"/>
      <c r="P10" s="34"/>
      <c r="Q10" s="34"/>
      <c r="R10" s="34"/>
      <c r="S10" s="34"/>
      <c r="T10" s="34"/>
      <c r="U10" s="90"/>
      <c r="V10" s="852"/>
      <c r="W10" s="930" t="s">
        <v>35</v>
      </c>
      <c r="X10" s="931"/>
      <c r="Y10" s="897" t="s">
        <v>487</v>
      </c>
      <c r="Z10" s="874" t="s">
        <v>488</v>
      </c>
      <c r="AA10" s="874" t="s">
        <v>489</v>
      </c>
      <c r="AB10" s="874" t="s">
        <v>55</v>
      </c>
      <c r="AC10" s="874" t="s">
        <v>490</v>
      </c>
      <c r="AD10" s="874" t="s">
        <v>54</v>
      </c>
      <c r="AE10" s="874" t="s">
        <v>491</v>
      </c>
      <c r="AF10" s="874"/>
      <c r="AG10" s="1012"/>
      <c r="AH10" s="1015"/>
      <c r="AI10" s="39"/>
      <c r="AJ10" s="39"/>
      <c r="AK10" s="39"/>
      <c r="AL10" s="40"/>
      <c r="AP10" s="29"/>
    </row>
    <row r="11" spans="2:42" s="2" customFormat="1" ht="18" customHeight="1">
      <c r="B11" s="705"/>
      <c r="C11" s="91"/>
      <c r="D11" s="54"/>
      <c r="E11" s="54"/>
      <c r="F11" s="54"/>
      <c r="G11" s="54"/>
      <c r="H11" s="54"/>
      <c r="I11" s="54"/>
      <c r="J11" s="54"/>
      <c r="K11" s="54"/>
      <c r="L11" s="54"/>
      <c r="M11" s="91"/>
      <c r="N11" s="91"/>
      <c r="O11" s="54"/>
      <c r="P11" s="54"/>
      <c r="Q11" s="54"/>
      <c r="R11" s="54"/>
      <c r="S11" s="54"/>
      <c r="T11" s="54"/>
      <c r="U11" s="92"/>
      <c r="V11" s="852"/>
      <c r="W11" s="870" t="s">
        <v>22</v>
      </c>
      <c r="X11" s="871"/>
      <c r="Y11" s="898"/>
      <c r="Z11" s="875"/>
      <c r="AA11" s="875"/>
      <c r="AB11" s="875"/>
      <c r="AC11" s="875"/>
      <c r="AD11" s="875"/>
      <c r="AE11" s="875"/>
      <c r="AF11" s="875"/>
      <c r="AG11" s="1013"/>
      <c r="AH11" s="1016"/>
      <c r="AI11" s="39"/>
      <c r="AJ11" s="39"/>
      <c r="AK11" s="39"/>
      <c r="AL11" s="40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34"/>
      <c r="H12" s="34"/>
      <c r="I12" s="34"/>
      <c r="J12" s="34"/>
      <c r="K12" s="34"/>
      <c r="L12" s="34" t="s">
        <v>4</v>
      </c>
      <c r="M12" s="34"/>
      <c r="N12" s="34"/>
      <c r="O12" s="34"/>
      <c r="P12" s="93"/>
      <c r="Q12" s="75"/>
      <c r="R12" s="34"/>
      <c r="S12" s="34"/>
      <c r="T12" s="34"/>
      <c r="U12" s="90"/>
      <c r="V12" s="852"/>
      <c r="W12" s="870" t="s">
        <v>23</v>
      </c>
      <c r="X12" s="871"/>
      <c r="Y12" s="898"/>
      <c r="Z12" s="875"/>
      <c r="AA12" s="875"/>
      <c r="AB12" s="875"/>
      <c r="AC12" s="875"/>
      <c r="AD12" s="875"/>
      <c r="AE12" s="875"/>
      <c r="AF12" s="875"/>
      <c r="AG12" s="1013"/>
      <c r="AH12" s="1016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1"/>
      <c r="D13" s="35"/>
      <c r="E13" s="35"/>
      <c r="F13" s="35"/>
      <c r="G13" s="35"/>
      <c r="H13" s="35"/>
      <c r="I13" s="35"/>
      <c r="J13" s="35"/>
      <c r="K13" s="35"/>
      <c r="L13" s="35" t="s">
        <v>29</v>
      </c>
      <c r="M13" s="35"/>
      <c r="N13" s="35"/>
      <c r="O13" s="35"/>
      <c r="P13" s="35"/>
      <c r="Q13" s="35"/>
      <c r="R13" s="35"/>
      <c r="S13" s="35"/>
      <c r="T13" s="35"/>
      <c r="U13" s="94"/>
      <c r="V13" s="852"/>
      <c r="W13" s="882"/>
      <c r="X13" s="883"/>
      <c r="Y13" s="898"/>
      <c r="Z13" s="875"/>
      <c r="AA13" s="875"/>
      <c r="AB13" s="875"/>
      <c r="AC13" s="875"/>
      <c r="AD13" s="875"/>
      <c r="AE13" s="875"/>
      <c r="AF13" s="875"/>
      <c r="AG13" s="1013"/>
      <c r="AH13" s="1016"/>
      <c r="AI13" s="39"/>
      <c r="AJ13" s="39"/>
      <c r="AK13" s="39"/>
      <c r="AL13" s="40"/>
      <c r="AP13" s="29"/>
    </row>
    <row r="14" spans="2:42" s="6" customFormat="1" ht="40.15" customHeight="1" thickTop="1">
      <c r="B14" s="707" t="s">
        <v>536</v>
      </c>
      <c r="C14" s="996" t="s">
        <v>34</v>
      </c>
      <c r="D14" s="997"/>
      <c r="E14" s="997"/>
      <c r="F14" s="976" t="s">
        <v>5</v>
      </c>
      <c r="G14" s="976"/>
      <c r="H14" s="976"/>
      <c r="I14" s="976"/>
      <c r="J14" s="976"/>
      <c r="K14" s="976"/>
      <c r="L14" s="976"/>
      <c r="M14" s="975" t="s">
        <v>56</v>
      </c>
      <c r="N14" s="976"/>
      <c r="O14" s="976"/>
      <c r="P14" s="975" t="s">
        <v>57</v>
      </c>
      <c r="Q14" s="976"/>
      <c r="R14" s="976"/>
      <c r="S14" s="980" t="s">
        <v>27</v>
      </c>
      <c r="T14" s="981"/>
      <c r="U14" s="982"/>
      <c r="V14" s="853"/>
      <c r="W14" s="884"/>
      <c r="X14" s="885"/>
      <c r="Y14" s="899"/>
      <c r="Z14" s="876"/>
      <c r="AA14" s="876"/>
      <c r="AB14" s="876"/>
      <c r="AC14" s="876"/>
      <c r="AD14" s="876"/>
      <c r="AE14" s="876"/>
      <c r="AF14" s="876"/>
      <c r="AG14" s="1014"/>
      <c r="AH14" s="1017"/>
      <c r="AI14" s="763" t="s">
        <v>40</v>
      </c>
      <c r="AJ14" s="764"/>
      <c r="AK14" s="764"/>
      <c r="AL14" s="765"/>
    </row>
    <row r="15" spans="2:42" s="17" customFormat="1" ht="19.899999999999999" customHeight="1">
      <c r="B15" s="705"/>
      <c r="C15" s="905"/>
      <c r="D15" s="906"/>
      <c r="E15" s="906"/>
      <c r="F15" s="909"/>
      <c r="G15" s="909"/>
      <c r="H15" s="909"/>
      <c r="I15" s="909"/>
      <c r="J15" s="909"/>
      <c r="K15" s="909"/>
      <c r="L15" s="909"/>
      <c r="M15" s="880"/>
      <c r="N15" s="880"/>
      <c r="O15" s="880"/>
      <c r="P15" s="880"/>
      <c r="Q15" s="880"/>
      <c r="R15" s="880"/>
      <c r="S15" s="880"/>
      <c r="T15" s="880"/>
      <c r="U15" s="880"/>
      <c r="V15" s="16"/>
      <c r="W15" s="880"/>
      <c r="X15" s="881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6"/>
      <c r="AJ15" s="766"/>
      <c r="AK15" s="766"/>
      <c r="AL15" s="767"/>
    </row>
    <row r="16" spans="2:42" s="17" customFormat="1" ht="19.899999999999999" customHeight="1">
      <c r="B16" s="705"/>
      <c r="C16" s="905"/>
      <c r="D16" s="906"/>
      <c r="E16" s="906"/>
      <c r="F16" s="932"/>
      <c r="G16" s="933"/>
      <c r="H16" s="933"/>
      <c r="I16" s="933"/>
      <c r="J16" s="933"/>
      <c r="K16" s="933"/>
      <c r="L16" s="934"/>
      <c r="M16" s="880"/>
      <c r="N16" s="880"/>
      <c r="O16" s="880"/>
      <c r="P16" s="880"/>
      <c r="Q16" s="880"/>
      <c r="R16" s="880"/>
      <c r="S16" s="880"/>
      <c r="T16" s="880"/>
      <c r="U16" s="880"/>
      <c r="V16" s="16"/>
      <c r="W16" s="880"/>
      <c r="X16" s="881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6"/>
      <c r="AJ16" s="766"/>
      <c r="AK16" s="766"/>
      <c r="AL16" s="767"/>
    </row>
    <row r="17" spans="2:38" s="6" customFormat="1" ht="19.899999999999999" customHeight="1">
      <c r="B17" s="705"/>
      <c r="C17" s="905"/>
      <c r="D17" s="906"/>
      <c r="E17" s="906"/>
      <c r="F17" s="909"/>
      <c r="G17" s="909"/>
      <c r="H17" s="909"/>
      <c r="I17" s="909"/>
      <c r="J17" s="909"/>
      <c r="K17" s="909"/>
      <c r="L17" s="909"/>
      <c r="M17" s="880"/>
      <c r="N17" s="880"/>
      <c r="O17" s="880"/>
      <c r="P17" s="880"/>
      <c r="Q17" s="880"/>
      <c r="R17" s="880"/>
      <c r="S17" s="880"/>
      <c r="T17" s="880"/>
      <c r="U17" s="880"/>
      <c r="V17" s="16"/>
      <c r="W17" s="880"/>
      <c r="X17" s="881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6"/>
      <c r="AJ17" s="766"/>
      <c r="AK17" s="766"/>
      <c r="AL17" s="767"/>
    </row>
    <row r="18" spans="2:38" s="6" customFormat="1" ht="19.899999999999999" customHeight="1">
      <c r="B18" s="705"/>
      <c r="C18" s="905"/>
      <c r="D18" s="906"/>
      <c r="E18" s="906"/>
      <c r="F18" s="909"/>
      <c r="G18" s="909"/>
      <c r="H18" s="909"/>
      <c r="I18" s="909"/>
      <c r="J18" s="909"/>
      <c r="K18" s="909"/>
      <c r="L18" s="909"/>
      <c r="M18" s="880"/>
      <c r="N18" s="880"/>
      <c r="O18" s="880"/>
      <c r="P18" s="880"/>
      <c r="Q18" s="880"/>
      <c r="R18" s="880"/>
      <c r="S18" s="880"/>
      <c r="T18" s="880"/>
      <c r="U18" s="880"/>
      <c r="V18" s="16"/>
      <c r="W18" s="880"/>
      <c r="X18" s="881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6"/>
      <c r="AJ18" s="766"/>
      <c r="AK18" s="766"/>
      <c r="AL18" s="767"/>
    </row>
    <row r="19" spans="2:38" s="6" customFormat="1" ht="19.899999999999999" customHeight="1">
      <c r="B19" s="705"/>
      <c r="C19" s="905"/>
      <c r="D19" s="906"/>
      <c r="E19" s="906"/>
      <c r="F19" s="909"/>
      <c r="G19" s="909"/>
      <c r="H19" s="909"/>
      <c r="I19" s="909"/>
      <c r="J19" s="909"/>
      <c r="K19" s="909"/>
      <c r="L19" s="909"/>
      <c r="M19" s="880"/>
      <c r="N19" s="880"/>
      <c r="O19" s="880"/>
      <c r="P19" s="880"/>
      <c r="Q19" s="880"/>
      <c r="R19" s="880"/>
      <c r="S19" s="880"/>
      <c r="T19" s="880"/>
      <c r="U19" s="880"/>
      <c r="V19" s="16"/>
      <c r="W19" s="880"/>
      <c r="X19" s="881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6"/>
      <c r="AJ19" s="766"/>
      <c r="AK19" s="766"/>
      <c r="AL19" s="767"/>
    </row>
    <row r="20" spans="2:38" s="6" customFormat="1" ht="19.899999999999999" customHeight="1">
      <c r="B20" s="705"/>
      <c r="C20" s="905"/>
      <c r="D20" s="906"/>
      <c r="E20" s="906"/>
      <c r="F20" s="909"/>
      <c r="G20" s="909"/>
      <c r="H20" s="909"/>
      <c r="I20" s="909"/>
      <c r="J20" s="909"/>
      <c r="K20" s="909"/>
      <c r="L20" s="909"/>
      <c r="M20" s="880"/>
      <c r="N20" s="880"/>
      <c r="O20" s="880"/>
      <c r="P20" s="880"/>
      <c r="Q20" s="880"/>
      <c r="R20" s="880"/>
      <c r="S20" s="880"/>
      <c r="T20" s="880"/>
      <c r="U20" s="880"/>
      <c r="V20" s="16"/>
      <c r="W20" s="880"/>
      <c r="X20" s="881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6"/>
      <c r="AJ20" s="766"/>
      <c r="AK20" s="766"/>
      <c r="AL20" s="767"/>
    </row>
    <row r="21" spans="2:38" s="6" customFormat="1" ht="19.899999999999999" customHeight="1">
      <c r="B21" s="705"/>
      <c r="C21" s="905"/>
      <c r="D21" s="906"/>
      <c r="E21" s="906"/>
      <c r="F21" s="909"/>
      <c r="G21" s="909"/>
      <c r="H21" s="909"/>
      <c r="I21" s="909"/>
      <c r="J21" s="909"/>
      <c r="K21" s="909"/>
      <c r="L21" s="909"/>
      <c r="M21" s="880"/>
      <c r="N21" s="880"/>
      <c r="O21" s="880"/>
      <c r="P21" s="880"/>
      <c r="Q21" s="880"/>
      <c r="R21" s="880"/>
      <c r="S21" s="880"/>
      <c r="T21" s="880"/>
      <c r="U21" s="880"/>
      <c r="V21" s="16"/>
      <c r="W21" s="880"/>
      <c r="X21" s="881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6"/>
      <c r="AJ21" s="766"/>
      <c r="AK21" s="766"/>
      <c r="AL21" s="767"/>
    </row>
    <row r="22" spans="2:38" s="6" customFormat="1" ht="19.899999999999999" customHeight="1">
      <c r="B22" s="705"/>
      <c r="C22" s="905"/>
      <c r="D22" s="906"/>
      <c r="E22" s="906"/>
      <c r="F22" s="909"/>
      <c r="G22" s="909"/>
      <c r="H22" s="909"/>
      <c r="I22" s="909"/>
      <c r="J22" s="909"/>
      <c r="K22" s="909"/>
      <c r="L22" s="909"/>
      <c r="M22" s="880"/>
      <c r="N22" s="880"/>
      <c r="O22" s="880"/>
      <c r="P22" s="880"/>
      <c r="Q22" s="880"/>
      <c r="R22" s="880"/>
      <c r="S22" s="880"/>
      <c r="T22" s="880"/>
      <c r="U22" s="880"/>
      <c r="V22" s="16"/>
      <c r="W22" s="880"/>
      <c r="X22" s="881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6"/>
      <c r="AJ22" s="766"/>
      <c r="AK22" s="766"/>
      <c r="AL22" s="767"/>
    </row>
    <row r="23" spans="2:38" s="6" customFormat="1" ht="19.899999999999999" customHeight="1">
      <c r="B23" s="705"/>
      <c r="C23" s="905"/>
      <c r="D23" s="906"/>
      <c r="E23" s="906"/>
      <c r="F23" s="909"/>
      <c r="G23" s="909"/>
      <c r="H23" s="909"/>
      <c r="I23" s="909"/>
      <c r="J23" s="909"/>
      <c r="K23" s="909"/>
      <c r="L23" s="909"/>
      <c r="M23" s="880"/>
      <c r="N23" s="880"/>
      <c r="O23" s="880"/>
      <c r="P23" s="880"/>
      <c r="Q23" s="880"/>
      <c r="R23" s="880"/>
      <c r="S23" s="880"/>
      <c r="T23" s="880"/>
      <c r="U23" s="880"/>
      <c r="V23" s="16"/>
      <c r="W23" s="880"/>
      <c r="X23" s="881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6"/>
      <c r="AJ23" s="766"/>
      <c r="AK23" s="766"/>
      <c r="AL23" s="767"/>
    </row>
    <row r="24" spans="2:38" s="6" customFormat="1" ht="19.899999999999999" customHeight="1" thickBot="1">
      <c r="B24" s="706"/>
      <c r="C24" s="935"/>
      <c r="D24" s="936"/>
      <c r="E24" s="936"/>
      <c r="F24" s="937"/>
      <c r="G24" s="937"/>
      <c r="H24" s="937"/>
      <c r="I24" s="937"/>
      <c r="J24" s="937"/>
      <c r="K24" s="937"/>
      <c r="L24" s="937"/>
      <c r="M24" s="938"/>
      <c r="N24" s="938"/>
      <c r="O24" s="938"/>
      <c r="P24" s="938"/>
      <c r="Q24" s="938"/>
      <c r="R24" s="938"/>
      <c r="S24" s="938"/>
      <c r="T24" s="938"/>
      <c r="U24" s="938"/>
      <c r="V24" s="78"/>
      <c r="W24" s="938"/>
      <c r="X24" s="939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71"/>
      <c r="AJ24" s="771"/>
      <c r="AK24" s="771"/>
      <c r="AL24" s="772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4" t="s">
        <v>539</v>
      </c>
      <c r="AB25" s="965"/>
      <c r="AC25" s="966" t="s">
        <v>542</v>
      </c>
      <c r="AD25" s="895"/>
      <c r="AE25" s="895"/>
      <c r="AF25" s="896"/>
      <c r="AG25" s="966" t="s">
        <v>45</v>
      </c>
      <c r="AH25" s="895"/>
      <c r="AI25" s="895"/>
      <c r="AJ25" s="895"/>
      <c r="AK25" s="895"/>
      <c r="AL25" s="967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1001" t="s">
        <v>32</v>
      </c>
      <c r="AB26" s="1002"/>
      <c r="AC26" s="1002"/>
      <c r="AD26" s="1002"/>
      <c r="AE26" s="1002"/>
      <c r="AF26" s="1003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1004"/>
      <c r="AB27" s="1005"/>
      <c r="AC27" s="1005"/>
      <c r="AD27" s="1005"/>
      <c r="AE27" s="1005"/>
      <c r="AF27" s="1006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8" t="s">
        <v>44</v>
      </c>
      <c r="AB32" s="949"/>
      <c r="AC32" s="949"/>
      <c r="AD32" s="949"/>
      <c r="AE32" s="949"/>
      <c r="AF32" s="950"/>
      <c r="AG32" s="954" t="s">
        <v>13</v>
      </c>
      <c r="AH32" s="955"/>
      <c r="AI32" s="955"/>
      <c r="AJ32" s="955"/>
      <c r="AK32" s="955"/>
      <c r="AL32" s="956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51"/>
      <c r="AB33" s="952"/>
      <c r="AC33" s="952"/>
      <c r="AD33" s="952"/>
      <c r="AE33" s="952"/>
      <c r="AF33" s="953"/>
      <c r="AG33" s="957"/>
      <c r="AH33" s="958"/>
      <c r="AI33" s="958"/>
      <c r="AJ33" s="958"/>
      <c r="AK33" s="958"/>
      <c r="AL33" s="959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60" t="s">
        <v>43</v>
      </c>
      <c r="AB34" s="961"/>
      <c r="AC34" s="961"/>
      <c r="AD34" s="961"/>
      <c r="AE34" s="961"/>
      <c r="AF34" s="962"/>
      <c r="AG34" s="957" t="s">
        <v>47</v>
      </c>
      <c r="AH34" s="958"/>
      <c r="AI34" s="958"/>
      <c r="AJ34" s="958"/>
      <c r="AK34" s="958"/>
      <c r="AL34" s="959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60"/>
      <c r="AB35" s="961"/>
      <c r="AC35" s="961"/>
      <c r="AD35" s="961"/>
      <c r="AE35" s="961"/>
      <c r="AF35" s="962"/>
      <c r="AG35" s="957"/>
      <c r="AH35" s="958"/>
      <c r="AI35" s="958"/>
      <c r="AJ35" s="958"/>
      <c r="AK35" s="958"/>
      <c r="AL35" s="959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63" t="s">
        <v>31</v>
      </c>
      <c r="AB36" s="940"/>
      <c r="AC36" s="940"/>
      <c r="AD36" s="940"/>
      <c r="AE36" s="940"/>
      <c r="AF36" s="941"/>
      <c r="AG36" s="940" t="s">
        <v>31</v>
      </c>
      <c r="AH36" s="940"/>
      <c r="AI36" s="940"/>
      <c r="AJ36" s="940"/>
      <c r="AK36" s="940"/>
      <c r="AL36" s="941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9" t="s">
        <v>533</v>
      </c>
      <c r="AB38" s="839"/>
      <c r="AC38" s="839"/>
      <c r="AD38" s="839"/>
      <c r="AE38" s="839"/>
      <c r="AF38" s="839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19">
    <mergeCell ref="F22:L22"/>
    <mergeCell ref="S24:U24"/>
    <mergeCell ref="W24:X24"/>
    <mergeCell ref="AI24:AL24"/>
    <mergeCell ref="AG32:AL33"/>
    <mergeCell ref="AA34:AF35"/>
    <mergeCell ref="AI22:AL22"/>
    <mergeCell ref="AG34:AL35"/>
    <mergeCell ref="AG25:AL25"/>
    <mergeCell ref="AI21:AL21"/>
    <mergeCell ref="S21:U21"/>
    <mergeCell ref="W21:X21"/>
    <mergeCell ref="AI18:AL18"/>
    <mergeCell ref="AA38:AF38"/>
    <mergeCell ref="AA25:AB25"/>
    <mergeCell ref="AC25:AF25"/>
    <mergeCell ref="AI23:AL23"/>
    <mergeCell ref="AA36:AF36"/>
    <mergeCell ref="AG36:AL36"/>
    <mergeCell ref="AA26:AF27"/>
    <mergeCell ref="AA32:AF33"/>
    <mergeCell ref="C22:E22"/>
    <mergeCell ref="W20:X20"/>
    <mergeCell ref="AI20:AL20"/>
    <mergeCell ref="M20:O20"/>
    <mergeCell ref="P20:R20"/>
    <mergeCell ref="C24:E24"/>
    <mergeCell ref="P24:R24"/>
    <mergeCell ref="C21:E21"/>
    <mergeCell ref="F21:L21"/>
    <mergeCell ref="M21:O21"/>
    <mergeCell ref="P21:R21"/>
    <mergeCell ref="C23:E23"/>
    <mergeCell ref="F23:L23"/>
    <mergeCell ref="M23:O23"/>
    <mergeCell ref="P23:R23"/>
    <mergeCell ref="F24:L24"/>
    <mergeCell ref="M24:O24"/>
    <mergeCell ref="S23:U23"/>
    <mergeCell ref="M22:O22"/>
    <mergeCell ref="P22:R22"/>
    <mergeCell ref="S22:U22"/>
    <mergeCell ref="S20:U20"/>
    <mergeCell ref="W23:X23"/>
    <mergeCell ref="W22:X22"/>
    <mergeCell ref="C19:E19"/>
    <mergeCell ref="F19:L19"/>
    <mergeCell ref="C20:E20"/>
    <mergeCell ref="F20:L20"/>
    <mergeCell ref="AI19:AL19"/>
    <mergeCell ref="S19:U19"/>
    <mergeCell ref="W19:X19"/>
    <mergeCell ref="M19:O19"/>
    <mergeCell ref="W18:X18"/>
    <mergeCell ref="S18:U18"/>
    <mergeCell ref="P18:R18"/>
    <mergeCell ref="C18:E18"/>
    <mergeCell ref="F18:L18"/>
    <mergeCell ref="M18:O18"/>
    <mergeCell ref="M15:O15"/>
    <mergeCell ref="C16:E16"/>
    <mergeCell ref="F16:L16"/>
    <mergeCell ref="M16:O16"/>
    <mergeCell ref="AI16:AL16"/>
    <mergeCell ref="P17:R17"/>
    <mergeCell ref="AI17:AL17"/>
    <mergeCell ref="C17:E17"/>
    <mergeCell ref="F17:L17"/>
    <mergeCell ref="M17:O17"/>
    <mergeCell ref="S17:U17"/>
    <mergeCell ref="AI15:AL15"/>
    <mergeCell ref="W15:X15"/>
    <mergeCell ref="AF1:AJ1"/>
    <mergeCell ref="P2:AA2"/>
    <mergeCell ref="P3:AA3"/>
    <mergeCell ref="AF6:AK6"/>
    <mergeCell ref="P4:AA4"/>
    <mergeCell ref="AI7:AL8"/>
    <mergeCell ref="F7:U7"/>
    <mergeCell ref="F8:K8"/>
    <mergeCell ref="AF10:AF14"/>
    <mergeCell ref="Z10:Z14"/>
    <mergeCell ref="AA10:AA14"/>
    <mergeCell ref="AC10:AC14"/>
    <mergeCell ref="S14:U14"/>
    <mergeCell ref="V9:V14"/>
    <mergeCell ref="W9:X9"/>
    <mergeCell ref="AE10:AE14"/>
    <mergeCell ref="W11:X11"/>
    <mergeCell ref="W10:X10"/>
    <mergeCell ref="W12:X12"/>
    <mergeCell ref="AI14:AL14"/>
    <mergeCell ref="AG10:AG14"/>
    <mergeCell ref="AH10:AH14"/>
    <mergeCell ref="W13:X14"/>
    <mergeCell ref="C9:E9"/>
    <mergeCell ref="AB10:AB14"/>
    <mergeCell ref="AD10:AD14"/>
    <mergeCell ref="P15:R15"/>
    <mergeCell ref="C14:E14"/>
    <mergeCell ref="L9:N9"/>
    <mergeCell ref="B25:B36"/>
    <mergeCell ref="B14:B24"/>
    <mergeCell ref="B7:B13"/>
    <mergeCell ref="V7:AH7"/>
    <mergeCell ref="V8:X8"/>
    <mergeCell ref="Z8:AG8"/>
    <mergeCell ref="F14:L14"/>
    <mergeCell ref="Y10:Y14"/>
    <mergeCell ref="M14:O14"/>
    <mergeCell ref="P14:R14"/>
    <mergeCell ref="P16:R16"/>
    <mergeCell ref="S16:U16"/>
    <mergeCell ref="S15:U15"/>
    <mergeCell ref="W16:X16"/>
    <mergeCell ref="W17:X17"/>
    <mergeCell ref="P19:R19"/>
    <mergeCell ref="C15:E15"/>
    <mergeCell ref="F15:L15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&amp;RF083-Kit_Request_and_COC_Templates-TCLP
Revised 2013-03-24</oddFooter>
  </headerFooter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AP57"/>
  <sheetViews>
    <sheetView showGridLines="0" showZeros="0" view="pageLayout" zoomScale="85" zoomScaleNormal="100" zoomScalePageLayoutView="85" workbookViewId="0">
      <selection activeCell="AC15" sqref="AC15:AD15"/>
    </sheetView>
  </sheetViews>
  <sheetFormatPr defaultColWidth="3.7109375" defaultRowHeight="15" customHeight="1"/>
  <cols>
    <col min="1" max="2" width="2.7109375" style="351" customWidth="1"/>
    <col min="3" max="21" width="3.7109375" style="351" customWidth="1"/>
    <col min="22" max="22" width="6.5703125" style="351" customWidth="1"/>
    <col min="23" max="23" width="3.7109375" style="351" customWidth="1"/>
    <col min="24" max="24" width="4.5703125" style="351" customWidth="1"/>
    <col min="25" max="29" width="5.85546875" style="351" customWidth="1"/>
    <col min="30" max="30" width="9.7109375" style="351" customWidth="1"/>
    <col min="31" max="31" width="5.85546875" style="351" customWidth="1"/>
    <col min="32" max="32" width="8.5703125" style="351" customWidth="1"/>
    <col min="33" max="34" width="5.85546875" style="351" customWidth="1"/>
    <col min="35" max="35" width="5" style="351" customWidth="1"/>
    <col min="36" max="37" width="3.7109375" style="351" customWidth="1"/>
    <col min="38" max="38" width="7.5703125" style="351" customWidth="1"/>
    <col min="39" max="16384" width="3.7109375" style="351"/>
  </cols>
  <sheetData>
    <row r="1" spans="2:42" s="319" customFormat="1" ht="15" customHeight="1">
      <c r="P1" s="357"/>
      <c r="Q1" s="357"/>
      <c r="R1" s="357"/>
      <c r="S1" s="357"/>
      <c r="T1" s="357"/>
      <c r="U1" s="357"/>
      <c r="V1" s="357"/>
      <c r="W1" s="357"/>
      <c r="X1" s="357"/>
      <c r="Y1" s="357"/>
      <c r="Z1" s="357"/>
      <c r="AA1" s="357"/>
      <c r="AB1" s="357"/>
      <c r="AC1" s="357"/>
      <c r="AD1" s="357"/>
      <c r="AE1" s="357"/>
      <c r="AF1" s="1189" t="s">
        <v>15</v>
      </c>
      <c r="AG1" s="1189"/>
      <c r="AH1" s="1189"/>
      <c r="AI1" s="1189"/>
      <c r="AJ1" s="1190"/>
      <c r="AK1" s="357"/>
    </row>
    <row r="2" spans="2:42" s="319" customFormat="1" ht="15" customHeight="1">
      <c r="K2" s="410"/>
      <c r="L2" s="410"/>
      <c r="M2" s="410"/>
      <c r="N2" s="410"/>
      <c r="O2" s="410"/>
      <c r="P2" s="1191" t="s">
        <v>30</v>
      </c>
      <c r="Q2" s="1191"/>
      <c r="R2" s="1191"/>
      <c r="S2" s="1191"/>
      <c r="T2" s="1191"/>
      <c r="U2" s="1191"/>
      <c r="V2" s="1191"/>
      <c r="W2" s="1191"/>
      <c r="X2" s="1191"/>
      <c r="Y2" s="1191"/>
      <c r="Z2" s="1191"/>
      <c r="AA2" s="1191"/>
      <c r="AB2" s="410"/>
      <c r="AC2" s="410"/>
      <c r="AD2" s="410"/>
      <c r="AE2" s="410"/>
      <c r="AF2" s="334" t="s">
        <v>16</v>
      </c>
      <c r="AG2" s="334"/>
      <c r="AH2" s="334"/>
      <c r="AI2" s="319" t="s">
        <v>17</v>
      </c>
      <c r="AJ2" s="334"/>
      <c r="AL2" s="334"/>
    </row>
    <row r="3" spans="2:42" s="319" customFormat="1" ht="15" customHeight="1">
      <c r="K3" s="410"/>
      <c r="L3" s="410"/>
      <c r="M3" s="410"/>
      <c r="O3" s="410"/>
      <c r="P3" s="1191" t="s">
        <v>14</v>
      </c>
      <c r="Q3" s="1191"/>
      <c r="R3" s="1191"/>
      <c r="S3" s="1191"/>
      <c r="T3" s="1191"/>
      <c r="U3" s="1191"/>
      <c r="V3" s="1191"/>
      <c r="W3" s="1191"/>
      <c r="X3" s="1191"/>
      <c r="Y3" s="1191"/>
      <c r="Z3" s="1191"/>
      <c r="AA3" s="1191"/>
      <c r="AB3" s="410"/>
      <c r="AC3" s="410"/>
      <c r="AD3" s="410"/>
      <c r="AE3" s="410"/>
      <c r="AF3" s="319" t="s">
        <v>18</v>
      </c>
      <c r="AI3" s="319" t="s">
        <v>25</v>
      </c>
    </row>
    <row r="4" spans="2:42" s="319" customFormat="1" ht="15" customHeight="1">
      <c r="I4" s="409"/>
      <c r="J4" s="409"/>
      <c r="K4" s="409"/>
      <c r="L4" s="409"/>
      <c r="M4" s="409"/>
      <c r="N4" s="409"/>
      <c r="O4" s="409"/>
      <c r="P4" s="408"/>
      <c r="Q4" s="408"/>
      <c r="R4" s="1099" t="s">
        <v>775</v>
      </c>
      <c r="S4" s="1100"/>
      <c r="T4" s="1100"/>
      <c r="U4" s="1100"/>
      <c r="V4" s="1100"/>
      <c r="W4" s="1100"/>
      <c r="X4" s="1100"/>
      <c r="Y4" s="1100"/>
      <c r="Z4" s="1100"/>
      <c r="AA4" s="408"/>
      <c r="AB4" s="408"/>
      <c r="AC4" s="408"/>
      <c r="AD4" s="408"/>
      <c r="AE4" s="408"/>
      <c r="AF4" s="319" t="s">
        <v>21</v>
      </c>
      <c r="AI4" s="319" t="s">
        <v>747</v>
      </c>
    </row>
    <row r="5" spans="2:42" s="319" customFormat="1" ht="15" customHeight="1">
      <c r="I5" s="407"/>
      <c r="J5" s="407"/>
      <c r="K5" s="407"/>
      <c r="L5" s="407"/>
      <c r="M5" s="407"/>
      <c r="N5" s="407"/>
      <c r="O5" s="407"/>
      <c r="P5" s="357"/>
      <c r="Q5" s="406"/>
      <c r="R5" s="406"/>
      <c r="S5" s="406"/>
      <c r="T5" s="406"/>
      <c r="U5" s="406"/>
      <c r="V5" s="406"/>
      <c r="W5" s="406"/>
      <c r="X5" s="406"/>
      <c r="Y5" s="406"/>
      <c r="Z5" s="406"/>
      <c r="AA5" s="406"/>
      <c r="AB5" s="406"/>
      <c r="AC5" s="406"/>
      <c r="AD5" s="406"/>
      <c r="AE5" s="406"/>
      <c r="AI5" s="14"/>
      <c r="AJ5" s="334"/>
      <c r="AK5" s="334"/>
      <c r="AL5" s="334"/>
    </row>
    <row r="6" spans="2:42" s="319" customFormat="1" ht="18" customHeight="1" thickBot="1">
      <c r="C6" s="332"/>
      <c r="P6" s="357"/>
      <c r="Q6" s="357"/>
      <c r="R6" s="357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778" t="s">
        <v>24</v>
      </c>
      <c r="AG6" s="778"/>
      <c r="AH6" s="778"/>
      <c r="AI6" s="779"/>
      <c r="AJ6" s="779"/>
      <c r="AK6" s="779"/>
      <c r="AL6" s="405"/>
    </row>
    <row r="7" spans="2:42" s="393" customFormat="1" ht="34.9" customHeight="1" thickTop="1" thickBot="1">
      <c r="B7" s="1131" t="s">
        <v>535</v>
      </c>
      <c r="C7" s="404" t="s">
        <v>0</v>
      </c>
      <c r="D7" s="403"/>
      <c r="E7" s="403"/>
      <c r="F7" s="1132" t="str">
        <f>'2 - Kit Request'!C7</f>
        <v>Kenai Watershed Forum</v>
      </c>
      <c r="G7" s="1133"/>
      <c r="H7" s="1133"/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4"/>
      <c r="V7" s="1194" t="s">
        <v>541</v>
      </c>
      <c r="W7" s="1195"/>
      <c r="X7" s="1195"/>
      <c r="Y7" s="1195"/>
      <c r="Z7" s="1195"/>
      <c r="AA7" s="1195"/>
      <c r="AB7" s="1195"/>
      <c r="AC7" s="1195"/>
      <c r="AD7" s="1195"/>
      <c r="AE7" s="1195"/>
      <c r="AF7" s="1195"/>
      <c r="AG7" s="1195"/>
      <c r="AH7" s="1196"/>
      <c r="AI7" s="1197" t="s">
        <v>48</v>
      </c>
      <c r="AJ7" s="1198"/>
      <c r="AK7" s="1198"/>
      <c r="AL7" s="1199"/>
    </row>
    <row r="8" spans="2:42" s="393" customFormat="1" ht="40.15" customHeight="1" thickBot="1">
      <c r="B8" s="1049"/>
      <c r="C8" s="402" t="s">
        <v>1</v>
      </c>
      <c r="D8" s="401"/>
      <c r="E8" s="401"/>
      <c r="F8" s="1147" t="str">
        <f>'2 - Kit Request'!C8</f>
        <v>Benjamin Meyer</v>
      </c>
      <c r="G8" s="1140"/>
      <c r="H8" s="1140"/>
      <c r="I8" s="1140"/>
      <c r="J8" s="1140"/>
      <c r="K8" s="1140"/>
      <c r="L8" s="400" t="s">
        <v>706</v>
      </c>
      <c r="M8" s="399"/>
      <c r="N8" s="399"/>
      <c r="O8" s="1140">
        <f>'2 - Kit Request'!F8</f>
        <v>0</v>
      </c>
      <c r="P8" s="1140"/>
      <c r="Q8" s="1140"/>
      <c r="R8" s="1140"/>
      <c r="S8" s="1140"/>
      <c r="T8" s="1140"/>
      <c r="U8" s="1148"/>
      <c r="V8" s="1149" t="s">
        <v>537</v>
      </c>
      <c r="W8" s="1150"/>
      <c r="X8" s="1151"/>
      <c r="Y8" s="1106" t="s">
        <v>85</v>
      </c>
      <c r="Z8" s="1107"/>
      <c r="AA8" s="1107"/>
      <c r="AB8" s="1107"/>
      <c r="AC8" s="1107"/>
      <c r="AD8" s="1111"/>
      <c r="AE8" s="1112"/>
      <c r="AF8" s="1112"/>
      <c r="AG8" s="1112"/>
      <c r="AH8" s="1113"/>
      <c r="AI8" s="1200"/>
      <c r="AJ8" s="1200"/>
      <c r="AK8" s="1200"/>
      <c r="AL8" s="1201"/>
    </row>
    <row r="9" spans="2:42" s="393" customFormat="1" ht="40.15" customHeight="1" thickBot="1">
      <c r="B9" s="1049"/>
      <c r="C9" s="1138" t="s">
        <v>37</v>
      </c>
      <c r="D9" s="1139"/>
      <c r="E9" s="1139"/>
      <c r="F9" s="1140" t="str">
        <f>'2 - Kit Request'!C10</f>
        <v>Kenai River Baseline Water Quality Monitoring</v>
      </c>
      <c r="G9" s="1140"/>
      <c r="H9" s="1140"/>
      <c r="I9" s="1140"/>
      <c r="J9" s="1140"/>
      <c r="K9" s="1140"/>
      <c r="L9" s="1141" t="s">
        <v>776</v>
      </c>
      <c r="M9" s="1142"/>
      <c r="N9" s="1142"/>
      <c r="O9" s="1143">
        <f>'2 - Kit Request'!F10</f>
        <v>0</v>
      </c>
      <c r="P9" s="1143"/>
      <c r="Q9" s="1143"/>
      <c r="R9" s="1143"/>
      <c r="S9" s="1143"/>
      <c r="T9" s="1143"/>
      <c r="U9" s="1144"/>
      <c r="V9" s="1157" t="s">
        <v>58</v>
      </c>
      <c r="W9" s="1160"/>
      <c r="X9" s="1161"/>
      <c r="Y9" s="571" t="str">
        <f>'2 - Kit Request'!G18</f>
        <v>H2SO4</v>
      </c>
      <c r="Z9" s="572" t="e">
        <f>'2 - Kit Request'!#REF!</f>
        <v>#REF!</v>
      </c>
      <c r="AA9" s="572" t="str">
        <f>'2 - Kit Request'!G19</f>
        <v>HNO3</v>
      </c>
      <c r="AB9" s="573" t="str">
        <f>'2 - Kit Request'!G20</f>
        <v>NONE</v>
      </c>
      <c r="AC9" s="1114" t="s">
        <v>846</v>
      </c>
      <c r="AD9" s="1115"/>
      <c r="AE9" s="1115"/>
      <c r="AF9" s="1115"/>
      <c r="AG9" s="1115"/>
      <c r="AH9" s="1115"/>
      <c r="AI9" s="1115"/>
      <c r="AJ9" s="1115"/>
      <c r="AK9" s="1115"/>
      <c r="AL9" s="1116"/>
    </row>
    <row r="10" spans="2:42" s="393" customFormat="1" ht="18" customHeight="1">
      <c r="B10" s="1049"/>
      <c r="C10" s="357" t="s">
        <v>2</v>
      </c>
      <c r="D10" s="357"/>
      <c r="E10" s="357"/>
      <c r="F10" s="358"/>
      <c r="G10" s="1162"/>
      <c r="H10" s="1163"/>
      <c r="I10" s="1163"/>
      <c r="J10" s="1163"/>
      <c r="K10" s="1163"/>
      <c r="L10" s="1164" t="s">
        <v>28</v>
      </c>
      <c r="M10" s="1164"/>
      <c r="N10" s="1164"/>
      <c r="O10" s="398" t="str">
        <f>'2 - Kit Request'!C9</f>
        <v>ben@kenaiwatershed.org</v>
      </c>
      <c r="P10" s="398"/>
      <c r="Q10" s="398"/>
      <c r="R10" s="398"/>
      <c r="S10" s="398"/>
      <c r="T10" s="398"/>
      <c r="U10" s="397"/>
      <c r="V10" s="1158"/>
      <c r="W10" s="1101"/>
      <c r="X10" s="1102"/>
      <c r="Y10" s="1170" t="s">
        <v>451</v>
      </c>
      <c r="Z10" s="1171"/>
      <c r="AA10" s="1171"/>
      <c r="AB10" s="1172"/>
      <c r="AC10" s="1117"/>
      <c r="AD10" s="1118"/>
      <c r="AE10" s="1118"/>
      <c r="AF10" s="1118"/>
      <c r="AG10" s="1118"/>
      <c r="AH10" s="1118"/>
      <c r="AI10" s="1118"/>
      <c r="AJ10" s="1118"/>
      <c r="AK10" s="1118"/>
      <c r="AL10" s="1119"/>
      <c r="AP10" s="394"/>
    </row>
    <row r="11" spans="2:42" s="393" customFormat="1" ht="18" customHeight="1">
      <c r="B11" s="1049"/>
      <c r="C11" s="1180"/>
      <c r="D11" s="1181"/>
      <c r="E11" s="1181"/>
      <c r="F11" s="1181"/>
      <c r="G11" s="1181"/>
      <c r="H11" s="1181"/>
      <c r="I11" s="1181"/>
      <c r="J11" s="1181"/>
      <c r="K11" s="1181"/>
      <c r="L11" s="1154" t="s">
        <v>751</v>
      </c>
      <c r="M11" s="1154"/>
      <c r="N11" s="1154"/>
      <c r="O11" s="1155">
        <f>'2 - Kit Request'!F11</f>
        <v>0</v>
      </c>
      <c r="P11" s="1154"/>
      <c r="Q11" s="1154"/>
      <c r="R11" s="1154"/>
      <c r="S11" s="1154"/>
      <c r="T11" s="1154"/>
      <c r="U11" s="1156"/>
      <c r="V11" s="1158"/>
      <c r="W11" s="1101"/>
      <c r="X11" s="1102"/>
      <c r="Y11" s="1173" t="str">
        <f>'2 - Kit Request'!C18</f>
        <v>Total NO3/NO2(SM21 4500NO3-F), Total P(SM4500)</v>
      </c>
      <c r="Z11" s="1176" t="str">
        <f>'2 - Kit Request'!C19</f>
        <v>Total Metals (200.7)</v>
      </c>
      <c r="AA11" s="1176" t="str">
        <f>'2 - Kit Request'!C20</f>
        <v>Dissolved Metals (200.8)</v>
      </c>
      <c r="AB11" s="1186">
        <f>'2 - Kit Request'!C21</f>
        <v>0</v>
      </c>
      <c r="AC11" s="1117"/>
      <c r="AD11" s="1118"/>
      <c r="AE11" s="1118"/>
      <c r="AF11" s="1118"/>
      <c r="AG11" s="1118"/>
      <c r="AH11" s="1118"/>
      <c r="AI11" s="1118"/>
      <c r="AJ11" s="1118"/>
      <c r="AK11" s="1118"/>
      <c r="AL11" s="1119"/>
      <c r="AP11" s="394"/>
    </row>
    <row r="12" spans="2:42" s="393" customFormat="1" ht="18" customHeight="1" thickBot="1">
      <c r="B12" s="1049"/>
      <c r="C12" s="357" t="s">
        <v>3</v>
      </c>
      <c r="D12" s="357"/>
      <c r="E12" s="357"/>
      <c r="F12" s="358"/>
      <c r="G12" s="1165"/>
      <c r="H12" s="1166"/>
      <c r="I12" s="1166"/>
      <c r="J12" s="1166"/>
      <c r="K12" s="1166"/>
      <c r="L12" s="396" t="s">
        <v>4</v>
      </c>
      <c r="M12" s="357"/>
      <c r="N12" s="357"/>
      <c r="O12" s="1167">
        <f>'2 - Kit Request'!C11</f>
        <v>0</v>
      </c>
      <c r="P12" s="1168"/>
      <c r="Q12" s="1168"/>
      <c r="R12" s="1168"/>
      <c r="S12" s="1168"/>
      <c r="T12" s="1168"/>
      <c r="U12" s="1169"/>
      <c r="V12" s="1158"/>
      <c r="W12" s="1101"/>
      <c r="X12" s="1123"/>
      <c r="Y12" s="1174"/>
      <c r="Z12" s="1177"/>
      <c r="AA12" s="1177"/>
      <c r="AB12" s="1187"/>
      <c r="AC12" s="1120"/>
      <c r="AD12" s="1121"/>
      <c r="AE12" s="1121"/>
      <c r="AF12" s="1121"/>
      <c r="AG12" s="1121"/>
      <c r="AH12" s="1121"/>
      <c r="AI12" s="1121"/>
      <c r="AJ12" s="1121"/>
      <c r="AK12" s="1121"/>
      <c r="AL12" s="1122"/>
      <c r="AP12" s="394"/>
    </row>
    <row r="13" spans="2:42" s="393" customFormat="1" ht="18" customHeight="1" thickBot="1">
      <c r="B13" s="1050"/>
      <c r="C13" s="1182" t="str">
        <f>'2 - Kit Request'!C7:F7</f>
        <v>Kenai Watershed Forum</v>
      </c>
      <c r="D13" s="1183"/>
      <c r="E13" s="1183"/>
      <c r="F13" s="1183"/>
      <c r="G13" s="1183"/>
      <c r="H13" s="1183"/>
      <c r="I13" s="1183"/>
      <c r="J13" s="1183"/>
      <c r="K13" s="1183"/>
      <c r="L13" s="395" t="s">
        <v>29</v>
      </c>
      <c r="M13" s="363"/>
      <c r="N13" s="1184"/>
      <c r="O13" s="1184"/>
      <c r="P13" s="1184"/>
      <c r="Q13" s="1184"/>
      <c r="R13" s="1184"/>
      <c r="S13" s="1184"/>
      <c r="T13" s="1184"/>
      <c r="U13" s="1185"/>
      <c r="V13" s="1158"/>
      <c r="W13" s="1101" t="s">
        <v>708</v>
      </c>
      <c r="X13" s="1102"/>
      <c r="Y13" s="1174"/>
      <c r="Z13" s="1177"/>
      <c r="AA13" s="1177"/>
      <c r="AB13" s="1187"/>
      <c r="AC13" s="1033" t="s">
        <v>777</v>
      </c>
      <c r="AD13" s="1034"/>
      <c r="AE13" s="1037" t="s">
        <v>778</v>
      </c>
      <c r="AF13" s="1038"/>
      <c r="AG13" s="1033" t="s">
        <v>779</v>
      </c>
      <c r="AH13" s="1038"/>
      <c r="AI13" s="1038"/>
      <c r="AJ13" s="1038"/>
      <c r="AK13" s="1038"/>
      <c r="AL13" s="1152"/>
      <c r="AP13" s="394"/>
    </row>
    <row r="14" spans="2:42" s="382" customFormat="1" ht="40.15" customHeight="1" thickBot="1">
      <c r="B14" s="1131" t="s">
        <v>536</v>
      </c>
      <c r="C14" s="1145" t="s">
        <v>34</v>
      </c>
      <c r="D14" s="1146"/>
      <c r="E14" s="1146"/>
      <c r="F14" s="1179" t="s">
        <v>783</v>
      </c>
      <c r="G14" s="1179"/>
      <c r="H14" s="1179"/>
      <c r="I14" s="1179"/>
      <c r="J14" s="1179"/>
      <c r="K14" s="1179"/>
      <c r="L14" s="1179"/>
      <c r="M14" s="1103" t="s">
        <v>781</v>
      </c>
      <c r="N14" s="1104"/>
      <c r="O14" s="1104"/>
      <c r="P14" s="1104"/>
      <c r="Q14" s="1105"/>
      <c r="R14" s="1103" t="s">
        <v>782</v>
      </c>
      <c r="S14" s="1104"/>
      <c r="T14" s="1104"/>
      <c r="U14" s="1105"/>
      <c r="V14" s="1159"/>
      <c r="W14" s="1101" t="s">
        <v>709</v>
      </c>
      <c r="X14" s="1102"/>
      <c r="Y14" s="1175"/>
      <c r="Z14" s="1178"/>
      <c r="AA14" s="1178"/>
      <c r="AB14" s="1188"/>
      <c r="AC14" s="1035"/>
      <c r="AD14" s="1036"/>
      <c r="AE14" s="1039"/>
      <c r="AF14" s="1040"/>
      <c r="AG14" s="1035"/>
      <c r="AH14" s="1040"/>
      <c r="AI14" s="1040"/>
      <c r="AJ14" s="1040"/>
      <c r="AK14" s="1040"/>
      <c r="AL14" s="1153"/>
    </row>
    <row r="15" spans="2:42" s="389" customFormat="1" ht="19.899999999999999" customHeight="1">
      <c r="B15" s="1049"/>
      <c r="C15" s="1128"/>
      <c r="D15" s="1129"/>
      <c r="E15" s="1129"/>
      <c r="F15" s="1130"/>
      <c r="G15" s="1130"/>
      <c r="H15" s="1130"/>
      <c r="I15" s="1130"/>
      <c r="J15" s="1130"/>
      <c r="K15" s="1130"/>
      <c r="L15" s="1130"/>
      <c r="M15" s="1031"/>
      <c r="N15" s="1044"/>
      <c r="O15" s="1044"/>
      <c r="P15" s="1044"/>
      <c r="Q15" s="1124"/>
      <c r="R15" s="1031"/>
      <c r="S15" s="1044"/>
      <c r="T15" s="1044"/>
      <c r="U15" s="1124"/>
      <c r="V15" s="386"/>
      <c r="W15" s="1031"/>
      <c r="X15" s="1032"/>
      <c r="Y15" s="392"/>
      <c r="Z15" s="391"/>
      <c r="AA15" s="391"/>
      <c r="AB15" s="390"/>
      <c r="AC15" s="1192"/>
      <c r="AD15" s="1193"/>
      <c r="AE15" s="1192"/>
      <c r="AF15" s="1193"/>
      <c r="AG15" s="1041"/>
      <c r="AH15" s="1042"/>
      <c r="AI15" s="1042"/>
      <c r="AJ15" s="1042"/>
      <c r="AK15" s="1042"/>
      <c r="AL15" s="1043"/>
    </row>
    <row r="16" spans="2:42" s="389" customFormat="1" ht="19.899999999999999" customHeight="1">
      <c r="B16" s="1049"/>
      <c r="C16" s="1128"/>
      <c r="D16" s="1129"/>
      <c r="E16" s="1129"/>
      <c r="F16" s="1135"/>
      <c r="G16" s="1136"/>
      <c r="H16" s="1136"/>
      <c r="I16" s="1136"/>
      <c r="J16" s="1136"/>
      <c r="K16" s="1136"/>
      <c r="L16" s="1137"/>
      <c r="M16" s="1031"/>
      <c r="N16" s="1044"/>
      <c r="O16" s="1044"/>
      <c r="P16" s="1044"/>
      <c r="Q16" s="1124"/>
      <c r="R16" s="1031"/>
      <c r="S16" s="1044"/>
      <c r="T16" s="1044"/>
      <c r="U16" s="1124"/>
      <c r="V16" s="386"/>
      <c r="W16" s="1046"/>
      <c r="X16" s="1047"/>
      <c r="Y16" s="387"/>
      <c r="Z16" s="386"/>
      <c r="AA16" s="386"/>
      <c r="AB16" s="388"/>
      <c r="AC16" s="1047"/>
      <c r="AD16" s="1048"/>
      <c r="AE16" s="1047"/>
      <c r="AF16" s="1048"/>
      <c r="AG16" s="1031"/>
      <c r="AH16" s="1044"/>
      <c r="AI16" s="1044"/>
      <c r="AJ16" s="1044"/>
      <c r="AK16" s="1044"/>
      <c r="AL16" s="1045"/>
    </row>
    <row r="17" spans="2:38" s="382" customFormat="1" ht="19.899999999999999" customHeight="1">
      <c r="B17" s="1049"/>
      <c r="C17" s="1128"/>
      <c r="D17" s="1129"/>
      <c r="E17" s="1129"/>
      <c r="F17" s="1130"/>
      <c r="G17" s="1130"/>
      <c r="H17" s="1130"/>
      <c r="I17" s="1130"/>
      <c r="J17" s="1130"/>
      <c r="K17" s="1130"/>
      <c r="L17" s="1130"/>
      <c r="M17" s="1031"/>
      <c r="N17" s="1044"/>
      <c r="O17" s="1044"/>
      <c r="P17" s="1044"/>
      <c r="Q17" s="1124"/>
      <c r="R17" s="1031"/>
      <c r="S17" s="1044"/>
      <c r="T17" s="1044"/>
      <c r="U17" s="1124"/>
      <c r="V17" s="386"/>
      <c r="W17" s="1046"/>
      <c r="X17" s="1047"/>
      <c r="Y17" s="387"/>
      <c r="Z17" s="386"/>
      <c r="AA17" s="386"/>
      <c r="AB17" s="388"/>
      <c r="AC17" s="1047"/>
      <c r="AD17" s="1048"/>
      <c r="AE17" s="1047"/>
      <c r="AF17" s="1048"/>
      <c r="AG17" s="1031"/>
      <c r="AH17" s="1044"/>
      <c r="AI17" s="1044"/>
      <c r="AJ17" s="1044"/>
      <c r="AK17" s="1044"/>
      <c r="AL17" s="1045"/>
    </row>
    <row r="18" spans="2:38" s="382" customFormat="1" ht="19.899999999999999" customHeight="1">
      <c r="B18" s="1049"/>
      <c r="C18" s="1128"/>
      <c r="D18" s="1129"/>
      <c r="E18" s="1129"/>
      <c r="F18" s="1130"/>
      <c r="G18" s="1130"/>
      <c r="H18" s="1130"/>
      <c r="I18" s="1130"/>
      <c r="J18" s="1130"/>
      <c r="K18" s="1130"/>
      <c r="L18" s="1130"/>
      <c r="M18" s="1031"/>
      <c r="N18" s="1044"/>
      <c r="O18" s="1044"/>
      <c r="P18" s="1044"/>
      <c r="Q18" s="1124"/>
      <c r="R18" s="1031"/>
      <c r="S18" s="1044"/>
      <c r="T18" s="1044"/>
      <c r="U18" s="1124"/>
      <c r="V18" s="386"/>
      <c r="W18" s="1046"/>
      <c r="X18" s="1047"/>
      <c r="Y18" s="387"/>
      <c r="Z18" s="386"/>
      <c r="AA18" s="386"/>
      <c r="AB18" s="388"/>
      <c r="AC18" s="1029"/>
      <c r="AD18" s="1030"/>
      <c r="AE18" s="1029"/>
      <c r="AF18" s="1030"/>
      <c r="AG18" s="1031"/>
      <c r="AH18" s="1044"/>
      <c r="AI18" s="1044"/>
      <c r="AJ18" s="1044"/>
      <c r="AK18" s="1044"/>
      <c r="AL18" s="1045"/>
    </row>
    <row r="19" spans="2:38" s="382" customFormat="1" ht="19.899999999999999" customHeight="1">
      <c r="B19" s="1049"/>
      <c r="C19" s="1128"/>
      <c r="D19" s="1129"/>
      <c r="E19" s="1129"/>
      <c r="F19" s="1130"/>
      <c r="G19" s="1130"/>
      <c r="H19" s="1130"/>
      <c r="I19" s="1130"/>
      <c r="J19" s="1130"/>
      <c r="K19" s="1130"/>
      <c r="L19" s="1130"/>
      <c r="M19" s="1031"/>
      <c r="N19" s="1044"/>
      <c r="O19" s="1044"/>
      <c r="P19" s="1044"/>
      <c r="Q19" s="1124"/>
      <c r="R19" s="1031"/>
      <c r="S19" s="1044"/>
      <c r="T19" s="1044"/>
      <c r="U19" s="1124"/>
      <c r="V19" s="386"/>
      <c r="W19" s="1046"/>
      <c r="X19" s="1047"/>
      <c r="Y19" s="387"/>
      <c r="Z19" s="386"/>
      <c r="AA19" s="386"/>
      <c r="AB19" s="388"/>
      <c r="AC19" s="1029"/>
      <c r="AD19" s="1030"/>
      <c r="AE19" s="1029"/>
      <c r="AF19" s="1030"/>
      <c r="AG19" s="1031"/>
      <c r="AH19" s="1044"/>
      <c r="AI19" s="1044"/>
      <c r="AJ19" s="1044"/>
      <c r="AK19" s="1044"/>
      <c r="AL19" s="1045"/>
    </row>
    <row r="20" spans="2:38" s="382" customFormat="1" ht="19.899999999999999" customHeight="1">
      <c r="B20" s="1049"/>
      <c r="C20" s="1128"/>
      <c r="D20" s="1129"/>
      <c r="E20" s="1129"/>
      <c r="F20" s="1130"/>
      <c r="G20" s="1130"/>
      <c r="H20" s="1130"/>
      <c r="I20" s="1130"/>
      <c r="J20" s="1130"/>
      <c r="K20" s="1130"/>
      <c r="L20" s="1130"/>
      <c r="M20" s="1031"/>
      <c r="N20" s="1044"/>
      <c r="O20" s="1044"/>
      <c r="P20" s="1044"/>
      <c r="Q20" s="1124"/>
      <c r="R20" s="1031"/>
      <c r="S20" s="1044"/>
      <c r="T20" s="1044"/>
      <c r="U20" s="1124"/>
      <c r="V20" s="386"/>
      <c r="W20" s="1046"/>
      <c r="X20" s="1047"/>
      <c r="Y20" s="387"/>
      <c r="Z20" s="386"/>
      <c r="AA20" s="386"/>
      <c r="AB20" s="386"/>
      <c r="AC20" s="1029"/>
      <c r="AD20" s="1030"/>
      <c r="AE20" s="1029"/>
      <c r="AF20" s="1030"/>
      <c r="AG20" s="1031"/>
      <c r="AH20" s="1044"/>
      <c r="AI20" s="1044"/>
      <c r="AJ20" s="1044"/>
      <c r="AK20" s="1044"/>
      <c r="AL20" s="1045"/>
    </row>
    <row r="21" spans="2:38" s="382" customFormat="1" ht="19.899999999999999" customHeight="1">
      <c r="B21" s="1049"/>
      <c r="C21" s="1128"/>
      <c r="D21" s="1129"/>
      <c r="E21" s="1129"/>
      <c r="F21" s="1130"/>
      <c r="G21" s="1130"/>
      <c r="H21" s="1130"/>
      <c r="I21" s="1130"/>
      <c r="J21" s="1130"/>
      <c r="K21" s="1130"/>
      <c r="L21" s="1130"/>
      <c r="M21" s="1031"/>
      <c r="N21" s="1044"/>
      <c r="O21" s="1044"/>
      <c r="P21" s="1044"/>
      <c r="Q21" s="1124"/>
      <c r="R21" s="1031"/>
      <c r="S21" s="1044"/>
      <c r="T21" s="1044"/>
      <c r="U21" s="1124"/>
      <c r="V21" s="386"/>
      <c r="W21" s="1046"/>
      <c r="X21" s="1047"/>
      <c r="Y21" s="387"/>
      <c r="Z21" s="386"/>
      <c r="AA21" s="386"/>
      <c r="AB21" s="386"/>
      <c r="AC21" s="1029"/>
      <c r="AD21" s="1030"/>
      <c r="AE21" s="1029"/>
      <c r="AF21" s="1030"/>
      <c r="AG21" s="1031"/>
      <c r="AH21" s="1044"/>
      <c r="AI21" s="1044"/>
      <c r="AJ21" s="1044"/>
      <c r="AK21" s="1044"/>
      <c r="AL21" s="1045"/>
    </row>
    <row r="22" spans="2:38" s="382" customFormat="1" ht="19.899999999999999" customHeight="1">
      <c r="B22" s="1049"/>
      <c r="C22" s="1128"/>
      <c r="D22" s="1129"/>
      <c r="E22" s="1129"/>
      <c r="F22" s="1130"/>
      <c r="G22" s="1130"/>
      <c r="H22" s="1130"/>
      <c r="I22" s="1130"/>
      <c r="J22" s="1130"/>
      <c r="K22" s="1130"/>
      <c r="L22" s="1130"/>
      <c r="M22" s="1031"/>
      <c r="N22" s="1044"/>
      <c r="O22" s="1044"/>
      <c r="P22" s="1044"/>
      <c r="Q22" s="1124"/>
      <c r="R22" s="1031"/>
      <c r="S22" s="1044"/>
      <c r="T22" s="1044"/>
      <c r="U22" s="1124"/>
      <c r="V22" s="386"/>
      <c r="W22" s="1046"/>
      <c r="X22" s="1047"/>
      <c r="Y22" s="387"/>
      <c r="Z22" s="386"/>
      <c r="AA22" s="386"/>
      <c r="AB22" s="386"/>
      <c r="AC22" s="1029"/>
      <c r="AD22" s="1030"/>
      <c r="AE22" s="1029"/>
      <c r="AF22" s="1030"/>
      <c r="AG22" s="1031"/>
      <c r="AH22" s="1044"/>
      <c r="AI22" s="1044"/>
      <c r="AJ22" s="1044"/>
      <c r="AK22" s="1044"/>
      <c r="AL22" s="1045"/>
    </row>
    <row r="23" spans="2:38" s="382" customFormat="1" ht="19.899999999999999" customHeight="1">
      <c r="B23" s="1049"/>
      <c r="C23" s="1128"/>
      <c r="D23" s="1129"/>
      <c r="E23" s="1129"/>
      <c r="F23" s="1130"/>
      <c r="G23" s="1130"/>
      <c r="H23" s="1130"/>
      <c r="I23" s="1130"/>
      <c r="J23" s="1130"/>
      <c r="K23" s="1130"/>
      <c r="L23" s="1130"/>
      <c r="M23" s="1031"/>
      <c r="N23" s="1044"/>
      <c r="O23" s="1044"/>
      <c r="P23" s="1044"/>
      <c r="Q23" s="1124"/>
      <c r="R23" s="1031"/>
      <c r="S23" s="1044"/>
      <c r="T23" s="1044"/>
      <c r="U23" s="1124"/>
      <c r="V23" s="386"/>
      <c r="W23" s="1046"/>
      <c r="X23" s="1047"/>
      <c r="Y23" s="387"/>
      <c r="Z23" s="386"/>
      <c r="AA23" s="386"/>
      <c r="AB23" s="386"/>
      <c r="AC23" s="1029"/>
      <c r="AD23" s="1030"/>
      <c r="AE23" s="1029"/>
      <c r="AF23" s="1030"/>
      <c r="AG23" s="1031"/>
      <c r="AH23" s="1044"/>
      <c r="AI23" s="1044"/>
      <c r="AJ23" s="1044"/>
      <c r="AK23" s="1044"/>
      <c r="AL23" s="1045"/>
    </row>
    <row r="24" spans="2:38" s="382" customFormat="1" ht="19.899999999999999" customHeight="1" thickBot="1">
      <c r="B24" s="1050"/>
      <c r="C24" s="1024"/>
      <c r="D24" s="1025"/>
      <c r="E24" s="1025"/>
      <c r="F24" s="1026"/>
      <c r="G24" s="1026"/>
      <c r="H24" s="1026"/>
      <c r="I24" s="1026"/>
      <c r="J24" s="1026"/>
      <c r="K24" s="1026"/>
      <c r="L24" s="1026"/>
      <c r="M24" s="1108"/>
      <c r="N24" s="1109"/>
      <c r="O24" s="1109"/>
      <c r="P24" s="1109"/>
      <c r="Q24" s="1127"/>
      <c r="R24" s="1108"/>
      <c r="S24" s="1109"/>
      <c r="T24" s="1109"/>
      <c r="U24" s="1127"/>
      <c r="V24" s="385"/>
      <c r="W24" s="1027"/>
      <c r="X24" s="1028"/>
      <c r="Y24" s="384"/>
      <c r="Z24" s="383"/>
      <c r="AA24" s="383"/>
      <c r="AB24" s="383"/>
      <c r="AC24" s="1125"/>
      <c r="AD24" s="1126"/>
      <c r="AE24" s="1125"/>
      <c r="AF24" s="1126"/>
      <c r="AG24" s="1108"/>
      <c r="AH24" s="1109"/>
      <c r="AI24" s="1109"/>
      <c r="AJ24" s="1109"/>
      <c r="AK24" s="1109"/>
      <c r="AL24" s="1110"/>
    </row>
    <row r="25" spans="2:38" s="334" customFormat="1" ht="21.75" customHeight="1">
      <c r="B25" s="1049" t="s">
        <v>534</v>
      </c>
      <c r="C25" s="379" t="s">
        <v>467</v>
      </c>
      <c r="D25" s="379"/>
      <c r="E25" s="379"/>
      <c r="F25" s="379"/>
      <c r="G25" s="379"/>
      <c r="H25" s="379"/>
      <c r="I25" s="379"/>
      <c r="J25" s="379"/>
      <c r="K25" s="379"/>
      <c r="L25" s="379"/>
      <c r="M25" s="381" t="s">
        <v>11</v>
      </c>
      <c r="N25" s="379"/>
      <c r="O25" s="380"/>
      <c r="P25" s="381" t="s">
        <v>12</v>
      </c>
      <c r="Q25" s="379"/>
      <c r="R25" s="380"/>
      <c r="S25" s="379" t="s">
        <v>9</v>
      </c>
      <c r="T25" s="379"/>
      <c r="U25" s="379"/>
      <c r="V25" s="379"/>
      <c r="W25" s="379"/>
      <c r="X25" s="379"/>
      <c r="Y25" s="379"/>
      <c r="Z25" s="378"/>
      <c r="AA25" s="1051" t="s">
        <v>539</v>
      </c>
      <c r="AB25" s="1052"/>
      <c r="AC25" s="1053"/>
      <c r="AD25" s="1053"/>
      <c r="AE25" s="1053"/>
      <c r="AF25" s="1054"/>
      <c r="AG25" s="1055" t="s">
        <v>45</v>
      </c>
      <c r="AH25" s="1053"/>
      <c r="AI25" s="1053"/>
      <c r="AJ25" s="1053"/>
      <c r="AK25" s="1053"/>
      <c r="AL25" s="1056"/>
    </row>
    <row r="26" spans="2:38" s="319" customFormat="1" ht="15" customHeight="1">
      <c r="B26" s="1049"/>
      <c r="C26" s="367"/>
      <c r="D26" s="367"/>
      <c r="E26" s="367"/>
      <c r="F26" s="367"/>
      <c r="G26" s="367"/>
      <c r="H26" s="367"/>
      <c r="I26" s="367"/>
      <c r="J26" s="367"/>
      <c r="K26" s="367"/>
      <c r="L26" s="367"/>
      <c r="M26" s="368"/>
      <c r="N26" s="367"/>
      <c r="O26" s="366"/>
      <c r="P26" s="368"/>
      <c r="Q26" s="367"/>
      <c r="R26" s="366"/>
      <c r="S26" s="367"/>
      <c r="T26" s="367"/>
      <c r="U26" s="357"/>
      <c r="V26" s="357"/>
      <c r="W26" s="357"/>
      <c r="X26" s="357"/>
      <c r="Y26" s="357"/>
      <c r="Z26" s="374"/>
      <c r="AA26" s="1057" t="s">
        <v>540</v>
      </c>
      <c r="AB26" s="1058"/>
      <c r="AC26" s="1058"/>
      <c r="AD26" s="1058"/>
      <c r="AE26" s="1058"/>
      <c r="AF26" s="1059"/>
      <c r="AG26" s="1063">
        <f>'2 - Kit Request'!F11</f>
        <v>0</v>
      </c>
      <c r="AH26" s="1064"/>
      <c r="AI26" s="1064"/>
      <c r="AJ26" s="1064"/>
      <c r="AK26" s="1064"/>
      <c r="AL26" s="1065"/>
    </row>
    <row r="27" spans="2:38" s="319" customFormat="1" ht="15" customHeight="1">
      <c r="B27" s="1049"/>
      <c r="C27" s="371"/>
      <c r="D27" s="371"/>
      <c r="E27" s="371"/>
      <c r="F27" s="371"/>
      <c r="G27" s="371"/>
      <c r="H27" s="371"/>
      <c r="I27" s="371"/>
      <c r="J27" s="371"/>
      <c r="K27" s="371"/>
      <c r="L27" s="371"/>
      <c r="M27" s="373"/>
      <c r="N27" s="371"/>
      <c r="O27" s="372"/>
      <c r="P27" s="373"/>
      <c r="Q27" s="371"/>
      <c r="R27" s="372"/>
      <c r="S27" s="371"/>
      <c r="T27" s="371"/>
      <c r="U27" s="370"/>
      <c r="V27" s="370"/>
      <c r="W27" s="370"/>
      <c r="X27" s="370"/>
      <c r="Y27" s="370"/>
      <c r="Z27" s="369"/>
      <c r="AA27" s="1060"/>
      <c r="AB27" s="1061"/>
      <c r="AC27" s="1061"/>
      <c r="AD27" s="1061"/>
      <c r="AE27" s="1061"/>
      <c r="AF27" s="1062"/>
      <c r="AG27" s="1066"/>
      <c r="AH27" s="1067"/>
      <c r="AI27" s="1067"/>
      <c r="AJ27" s="1067"/>
      <c r="AK27" s="1067"/>
      <c r="AL27" s="1068"/>
    </row>
    <row r="28" spans="2:38" s="319" customFormat="1" ht="15" customHeight="1">
      <c r="B28" s="1049"/>
      <c r="C28" s="367" t="s">
        <v>6</v>
      </c>
      <c r="D28" s="367"/>
      <c r="E28" s="367"/>
      <c r="F28" s="367"/>
      <c r="G28" s="367"/>
      <c r="H28" s="367"/>
      <c r="I28" s="367"/>
      <c r="J28" s="367"/>
      <c r="K28" s="367"/>
      <c r="L28" s="367"/>
      <c r="M28" s="368" t="s">
        <v>11</v>
      </c>
      <c r="N28" s="367"/>
      <c r="O28" s="366"/>
      <c r="P28" s="368" t="s">
        <v>12</v>
      </c>
      <c r="Q28" s="367"/>
      <c r="R28" s="366"/>
      <c r="S28" s="367" t="s">
        <v>9</v>
      </c>
      <c r="T28" s="367"/>
      <c r="U28" s="357"/>
      <c r="V28" s="357"/>
      <c r="W28" s="357"/>
      <c r="X28" s="357"/>
      <c r="Y28" s="357"/>
      <c r="Z28" s="374"/>
      <c r="AA28" s="377" t="s">
        <v>529</v>
      </c>
      <c r="AB28" s="361"/>
      <c r="AC28" s="361"/>
      <c r="AD28" s="361"/>
      <c r="AE28" s="361"/>
      <c r="AF28" s="361"/>
      <c r="AG28" s="376"/>
      <c r="AH28" s="376"/>
      <c r="AI28" s="376"/>
      <c r="AJ28" s="376"/>
      <c r="AK28" s="376"/>
      <c r="AL28" s="375"/>
    </row>
    <row r="29" spans="2:38" s="319" customFormat="1" ht="15" customHeight="1">
      <c r="B29" s="1049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68"/>
      <c r="N29" s="367"/>
      <c r="O29" s="366"/>
      <c r="P29" s="368"/>
      <c r="Q29" s="367"/>
      <c r="R29" s="366"/>
      <c r="S29" s="367"/>
      <c r="T29" s="367"/>
      <c r="U29" s="357"/>
      <c r="V29" s="357"/>
      <c r="W29" s="357"/>
      <c r="X29" s="357"/>
      <c r="Y29" s="357"/>
      <c r="Z29" s="374"/>
      <c r="AA29" s="1069"/>
      <c r="AB29" s="1070"/>
      <c r="AC29" s="1070"/>
      <c r="AD29" s="1070"/>
      <c r="AE29" s="1070"/>
      <c r="AF29" s="1070"/>
      <c r="AG29" s="1070"/>
      <c r="AH29" s="1070"/>
      <c r="AI29" s="1070"/>
      <c r="AJ29" s="1070"/>
      <c r="AK29" s="1070"/>
      <c r="AL29" s="1071"/>
    </row>
    <row r="30" spans="2:38" s="319" customFormat="1" ht="15" customHeight="1">
      <c r="B30" s="1049"/>
      <c r="C30" s="371"/>
      <c r="D30" s="371"/>
      <c r="E30" s="371"/>
      <c r="F30" s="371"/>
      <c r="G30" s="371"/>
      <c r="H30" s="371"/>
      <c r="I30" s="371"/>
      <c r="J30" s="371"/>
      <c r="K30" s="371"/>
      <c r="L30" s="371"/>
      <c r="M30" s="373"/>
      <c r="N30" s="371"/>
      <c r="O30" s="372"/>
      <c r="P30" s="373"/>
      <c r="Q30" s="371"/>
      <c r="R30" s="372"/>
      <c r="S30" s="371"/>
      <c r="T30" s="371"/>
      <c r="U30" s="370"/>
      <c r="V30" s="370"/>
      <c r="W30" s="370"/>
      <c r="X30" s="370"/>
      <c r="Y30" s="370"/>
      <c r="Z30" s="369"/>
      <c r="AA30" s="1069"/>
      <c r="AB30" s="1070"/>
      <c r="AC30" s="1070"/>
      <c r="AD30" s="1070"/>
      <c r="AE30" s="1070"/>
      <c r="AF30" s="1070"/>
      <c r="AG30" s="1070"/>
      <c r="AH30" s="1070"/>
      <c r="AI30" s="1070"/>
      <c r="AJ30" s="1070"/>
      <c r="AK30" s="1070"/>
      <c r="AL30" s="1071"/>
    </row>
    <row r="31" spans="2:38" s="319" customFormat="1" ht="15" customHeight="1" thickBot="1">
      <c r="B31" s="1049"/>
      <c r="C31" s="367" t="s">
        <v>7</v>
      </c>
      <c r="D31" s="367"/>
      <c r="E31" s="367"/>
      <c r="F31" s="367"/>
      <c r="G31" s="367"/>
      <c r="H31" s="367"/>
      <c r="I31" s="367"/>
      <c r="J31" s="367"/>
      <c r="K31" s="367"/>
      <c r="L31" s="367"/>
      <c r="M31" s="368" t="s">
        <v>11</v>
      </c>
      <c r="N31" s="367"/>
      <c r="O31" s="366"/>
      <c r="P31" s="368" t="s">
        <v>12</v>
      </c>
      <c r="Q31" s="367"/>
      <c r="R31" s="366"/>
      <c r="S31" s="367" t="s">
        <v>9</v>
      </c>
      <c r="T31" s="367"/>
      <c r="U31" s="357"/>
      <c r="V31" s="357"/>
      <c r="W31" s="357"/>
      <c r="X31" s="357"/>
      <c r="Y31" s="357"/>
      <c r="Z31" s="374"/>
      <c r="AA31" s="1072"/>
      <c r="AB31" s="1073"/>
      <c r="AC31" s="1073"/>
      <c r="AD31" s="1073"/>
      <c r="AE31" s="1073"/>
      <c r="AF31" s="1073"/>
      <c r="AG31" s="1073"/>
      <c r="AH31" s="1073"/>
      <c r="AI31" s="1073"/>
      <c r="AJ31" s="1073"/>
      <c r="AK31" s="1073"/>
      <c r="AL31" s="1074"/>
    </row>
    <row r="32" spans="2:38" s="319" customFormat="1" ht="15" customHeight="1">
      <c r="B32" s="1049"/>
      <c r="C32" s="367"/>
      <c r="D32" s="367"/>
      <c r="E32" s="367"/>
      <c r="F32" s="367"/>
      <c r="G32" s="367"/>
      <c r="H32" s="367"/>
      <c r="I32" s="367"/>
      <c r="J32" s="367"/>
      <c r="K32" s="367"/>
      <c r="L32" s="367"/>
      <c r="M32" s="368"/>
      <c r="N32" s="367"/>
      <c r="O32" s="366"/>
      <c r="P32" s="368"/>
      <c r="Q32" s="367"/>
      <c r="R32" s="366"/>
      <c r="S32" s="367"/>
      <c r="T32" s="367"/>
      <c r="U32" s="357"/>
      <c r="V32" s="357"/>
      <c r="W32" s="357"/>
      <c r="X32" s="357"/>
      <c r="Y32" s="357"/>
      <c r="Z32" s="374"/>
      <c r="AA32" s="1075" t="s">
        <v>44</v>
      </c>
      <c r="AB32" s="1076"/>
      <c r="AC32" s="1076"/>
      <c r="AD32" s="1076"/>
      <c r="AE32" s="1076"/>
      <c r="AF32" s="1077"/>
      <c r="AG32" s="1081" t="s">
        <v>13</v>
      </c>
      <c r="AH32" s="1082"/>
      <c r="AI32" s="1082"/>
      <c r="AJ32" s="1082"/>
      <c r="AK32" s="1082"/>
      <c r="AL32" s="1083"/>
    </row>
    <row r="33" spans="2:39" s="319" customFormat="1" ht="15" customHeight="1">
      <c r="B33" s="1049"/>
      <c r="C33" s="371"/>
      <c r="D33" s="371"/>
      <c r="E33" s="371"/>
      <c r="F33" s="371"/>
      <c r="G33" s="371"/>
      <c r="H33" s="371"/>
      <c r="I33" s="371"/>
      <c r="J33" s="371"/>
      <c r="K33" s="371"/>
      <c r="L33" s="371"/>
      <c r="M33" s="373"/>
      <c r="N33" s="371"/>
      <c r="O33" s="372"/>
      <c r="P33" s="373"/>
      <c r="Q33" s="371"/>
      <c r="R33" s="372"/>
      <c r="S33" s="371"/>
      <c r="T33" s="371"/>
      <c r="U33" s="370"/>
      <c r="V33" s="370"/>
      <c r="W33" s="370"/>
      <c r="X33" s="370"/>
      <c r="Y33" s="370"/>
      <c r="Z33" s="369"/>
      <c r="AA33" s="1078"/>
      <c r="AB33" s="1079"/>
      <c r="AC33" s="1079"/>
      <c r="AD33" s="1079"/>
      <c r="AE33" s="1079"/>
      <c r="AF33" s="1080"/>
      <c r="AG33" s="1084"/>
      <c r="AH33" s="1085"/>
      <c r="AI33" s="1085"/>
      <c r="AJ33" s="1085"/>
      <c r="AK33" s="1085"/>
      <c r="AL33" s="1086"/>
      <c r="AM33" s="365"/>
    </row>
    <row r="34" spans="2:39" s="319" customFormat="1" ht="15" customHeight="1">
      <c r="B34" s="1049"/>
      <c r="C34" s="367" t="s">
        <v>8</v>
      </c>
      <c r="D34" s="367"/>
      <c r="E34" s="367"/>
      <c r="F34" s="367"/>
      <c r="G34" s="367"/>
      <c r="H34" s="367"/>
      <c r="I34" s="367"/>
      <c r="J34" s="367"/>
      <c r="K34" s="367"/>
      <c r="L34" s="367"/>
      <c r="M34" s="368" t="s">
        <v>11</v>
      </c>
      <c r="N34" s="367"/>
      <c r="O34" s="366"/>
      <c r="P34" s="368" t="s">
        <v>12</v>
      </c>
      <c r="Q34" s="367"/>
      <c r="R34" s="366"/>
      <c r="S34" s="458" t="s">
        <v>10</v>
      </c>
      <c r="T34" s="458"/>
      <c r="U34" s="459"/>
      <c r="V34" s="459"/>
      <c r="W34" s="459"/>
      <c r="X34" s="459"/>
      <c r="Y34" s="459"/>
      <c r="Z34" s="460"/>
      <c r="AA34" s="1087" t="s">
        <v>43</v>
      </c>
      <c r="AB34" s="1088"/>
      <c r="AC34" s="1088"/>
      <c r="AD34" s="1088"/>
      <c r="AE34" s="1088"/>
      <c r="AF34" s="1089"/>
      <c r="AG34" s="1084" t="s">
        <v>47</v>
      </c>
      <c r="AH34" s="1085"/>
      <c r="AI34" s="1085"/>
      <c r="AJ34" s="1085"/>
      <c r="AK34" s="1085"/>
      <c r="AL34" s="1086"/>
      <c r="AM34" s="365"/>
    </row>
    <row r="35" spans="2:39" s="319" customFormat="1" ht="15" customHeight="1" thickBot="1">
      <c r="B35" s="1049"/>
      <c r="C35" s="367"/>
      <c r="D35" s="367"/>
      <c r="E35" s="367"/>
      <c r="F35" s="367"/>
      <c r="G35" s="367"/>
      <c r="H35" s="367"/>
      <c r="I35" s="367"/>
      <c r="J35" s="367"/>
      <c r="K35" s="367"/>
      <c r="L35" s="367"/>
      <c r="M35" s="368"/>
      <c r="N35" s="367"/>
      <c r="O35" s="366"/>
      <c r="P35" s="368"/>
      <c r="Q35" s="367"/>
      <c r="R35" s="366"/>
      <c r="S35" s="458"/>
      <c r="T35" s="458"/>
      <c r="U35" s="459"/>
      <c r="V35" s="459"/>
      <c r="W35" s="459"/>
      <c r="X35" s="459"/>
      <c r="Y35" s="459"/>
      <c r="Z35" s="461"/>
      <c r="AA35" s="1090"/>
      <c r="AB35" s="1091"/>
      <c r="AC35" s="1091"/>
      <c r="AD35" s="1091"/>
      <c r="AE35" s="1091"/>
      <c r="AF35" s="1092"/>
      <c r="AG35" s="1096"/>
      <c r="AH35" s="1097"/>
      <c r="AI35" s="1097"/>
      <c r="AJ35" s="1097"/>
      <c r="AK35" s="1097"/>
      <c r="AL35" s="1098"/>
      <c r="AM35" s="365"/>
    </row>
    <row r="36" spans="2:39" s="319" customFormat="1" ht="15" customHeight="1" thickBot="1">
      <c r="B36" s="1050"/>
      <c r="C36" s="363"/>
      <c r="D36" s="363"/>
      <c r="E36" s="363"/>
      <c r="F36" s="363"/>
      <c r="G36" s="363"/>
      <c r="H36" s="363"/>
      <c r="I36" s="363"/>
      <c r="J36" s="363"/>
      <c r="K36" s="363"/>
      <c r="L36" s="363"/>
      <c r="M36" s="364"/>
      <c r="N36" s="363"/>
      <c r="O36" s="362"/>
      <c r="P36" s="364"/>
      <c r="Q36" s="363"/>
      <c r="R36" s="362"/>
      <c r="S36" s="462"/>
      <c r="T36" s="462"/>
      <c r="U36" s="462"/>
      <c r="V36" s="462"/>
      <c r="W36" s="462"/>
      <c r="X36" s="462"/>
      <c r="Y36" s="462"/>
      <c r="Z36" s="463"/>
      <c r="AA36" s="1093" t="s">
        <v>746</v>
      </c>
      <c r="AB36" s="1094"/>
      <c r="AC36" s="1094"/>
      <c r="AD36" s="1094"/>
      <c r="AE36" s="1094"/>
      <c r="AF36" s="1094"/>
      <c r="AG36" s="1094"/>
      <c r="AH36" s="1094"/>
      <c r="AI36" s="1094"/>
      <c r="AJ36" s="1094"/>
      <c r="AK36" s="1094"/>
      <c r="AL36" s="1095"/>
    </row>
    <row r="37" spans="2:39" s="319" customFormat="1" ht="12" customHeight="1">
      <c r="C37" s="357"/>
      <c r="D37" s="357"/>
      <c r="E37" s="357"/>
      <c r="F37" s="357"/>
      <c r="G37" s="357"/>
      <c r="H37" s="357"/>
      <c r="I37" s="357"/>
      <c r="J37" s="357"/>
      <c r="K37" s="357"/>
      <c r="L37" s="357"/>
      <c r="M37" s="357"/>
      <c r="N37" s="357"/>
      <c r="O37" s="357"/>
      <c r="P37" s="357"/>
      <c r="Q37" s="357"/>
      <c r="R37" s="357"/>
      <c r="S37" s="361"/>
      <c r="T37" s="361"/>
      <c r="U37" s="361"/>
      <c r="V37" s="361"/>
      <c r="W37" s="361"/>
      <c r="X37" s="361"/>
      <c r="Y37" s="361"/>
      <c r="Z37" s="361"/>
      <c r="AA37" s="360"/>
      <c r="AB37" s="357"/>
      <c r="AC37" s="357"/>
      <c r="AD37" s="357"/>
      <c r="AE37" s="357"/>
      <c r="AF37" s="357"/>
      <c r="AG37" s="357"/>
      <c r="AH37" s="357"/>
      <c r="AI37" s="357"/>
      <c r="AJ37" s="357"/>
      <c r="AK37" s="357"/>
      <c r="AL37" s="357"/>
    </row>
    <row r="38" spans="2:39" s="319" customFormat="1" ht="12" customHeight="1">
      <c r="C38" s="354"/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N38" s="358"/>
      <c r="O38" s="358"/>
      <c r="P38" s="358"/>
      <c r="Q38" s="358"/>
      <c r="R38" s="358"/>
      <c r="S38" s="358"/>
      <c r="T38" s="359"/>
      <c r="U38" s="358"/>
      <c r="V38" s="357"/>
      <c r="W38" s="358"/>
      <c r="X38" s="358"/>
      <c r="Y38" s="357"/>
      <c r="Z38" s="357"/>
      <c r="AA38" s="839" t="s">
        <v>533</v>
      </c>
      <c r="AB38" s="839"/>
      <c r="AC38" s="839"/>
      <c r="AD38" s="839"/>
      <c r="AE38" s="839"/>
      <c r="AF38" s="839"/>
      <c r="AG38" s="839"/>
      <c r="AH38" s="357"/>
      <c r="AI38" s="357"/>
      <c r="AJ38" s="357"/>
      <c r="AK38" s="357"/>
      <c r="AL38" s="356"/>
    </row>
    <row r="39" spans="2:39" s="319" customFormat="1" ht="12" customHeight="1">
      <c r="C39" s="354"/>
      <c r="D39" s="357"/>
      <c r="E39" s="358"/>
      <c r="F39" s="358"/>
      <c r="G39" s="358"/>
      <c r="H39" s="358"/>
      <c r="I39" s="358"/>
      <c r="J39" s="358"/>
      <c r="K39" s="358"/>
      <c r="L39" s="358"/>
      <c r="M39" s="358"/>
      <c r="N39" s="358"/>
      <c r="O39" s="358"/>
      <c r="P39" s="358"/>
      <c r="Q39" s="358"/>
      <c r="R39" s="358"/>
      <c r="S39" s="358"/>
      <c r="T39" s="359"/>
      <c r="U39" s="358"/>
      <c r="V39" s="357"/>
      <c r="W39" s="357"/>
      <c r="X39" s="358"/>
      <c r="Y39" s="357"/>
      <c r="Z39" s="357"/>
      <c r="AA39" s="357"/>
      <c r="AB39" s="357"/>
      <c r="AC39" s="357"/>
      <c r="AD39" s="357"/>
      <c r="AE39" s="357"/>
      <c r="AF39" s="357"/>
      <c r="AG39" s="357"/>
      <c r="AH39" s="357"/>
      <c r="AI39" s="357"/>
      <c r="AJ39" s="357"/>
      <c r="AK39" s="357"/>
      <c r="AL39" s="356"/>
    </row>
    <row r="40" spans="2:39" s="319" customFormat="1" ht="12" customHeight="1">
      <c r="C40" s="354"/>
      <c r="T40" s="355"/>
      <c r="W40" s="354"/>
      <c r="AL40" s="353"/>
    </row>
    <row r="41" spans="2:39" ht="18" customHeight="1"/>
    <row r="42" spans="2:39" ht="18" customHeight="1">
      <c r="C42" s="352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41">
    <mergeCell ref="AF1:AJ1"/>
    <mergeCell ref="P2:AA2"/>
    <mergeCell ref="P3:AA3"/>
    <mergeCell ref="AF6:AK6"/>
    <mergeCell ref="AC15:AD15"/>
    <mergeCell ref="AE15:AF15"/>
    <mergeCell ref="AC16:AD16"/>
    <mergeCell ref="AE16:AF16"/>
    <mergeCell ref="V7:AH7"/>
    <mergeCell ref="AI7:AL8"/>
    <mergeCell ref="R16:U16"/>
    <mergeCell ref="F8:K8"/>
    <mergeCell ref="O8:U8"/>
    <mergeCell ref="V8:X8"/>
    <mergeCell ref="AG13:AL14"/>
    <mergeCell ref="L11:N11"/>
    <mergeCell ref="O11:U11"/>
    <mergeCell ref="V9:V14"/>
    <mergeCell ref="W9:X9"/>
    <mergeCell ref="G10:K10"/>
    <mergeCell ref="L10:N10"/>
    <mergeCell ref="G12:K12"/>
    <mergeCell ref="O12:U12"/>
    <mergeCell ref="W11:X11"/>
    <mergeCell ref="Y10:AB10"/>
    <mergeCell ref="Y11:Y14"/>
    <mergeCell ref="Z11:Z14"/>
    <mergeCell ref="AA11:AA14"/>
    <mergeCell ref="F14:L14"/>
    <mergeCell ref="C11:K11"/>
    <mergeCell ref="M14:Q14"/>
    <mergeCell ref="C13:K13"/>
    <mergeCell ref="N13:U13"/>
    <mergeCell ref="AB11:AB14"/>
    <mergeCell ref="B7:B13"/>
    <mergeCell ref="F7:U7"/>
    <mergeCell ref="B14:B24"/>
    <mergeCell ref="C16:E16"/>
    <mergeCell ref="F23:L23"/>
    <mergeCell ref="M18:Q18"/>
    <mergeCell ref="R18:U18"/>
    <mergeCell ref="C20:E20"/>
    <mergeCell ref="F20:L20"/>
    <mergeCell ref="C22:E22"/>
    <mergeCell ref="F22:L22"/>
    <mergeCell ref="C23:E23"/>
    <mergeCell ref="M17:Q17"/>
    <mergeCell ref="M15:Q15"/>
    <mergeCell ref="R15:U15"/>
    <mergeCell ref="M16:Q16"/>
    <mergeCell ref="F16:L16"/>
    <mergeCell ref="C9:E9"/>
    <mergeCell ref="F9:K9"/>
    <mergeCell ref="L9:N9"/>
    <mergeCell ref="O9:U9"/>
    <mergeCell ref="M19:Q19"/>
    <mergeCell ref="R19:U19"/>
    <mergeCell ref="C14:E14"/>
    <mergeCell ref="M20:Q20"/>
    <mergeCell ref="R20:U20"/>
    <mergeCell ref="C21:E21"/>
    <mergeCell ref="F21:L21"/>
    <mergeCell ref="C15:E15"/>
    <mergeCell ref="F15:L15"/>
    <mergeCell ref="M21:Q21"/>
    <mergeCell ref="R21:U21"/>
    <mergeCell ref="C18:E18"/>
    <mergeCell ref="F18:L18"/>
    <mergeCell ref="C17:E17"/>
    <mergeCell ref="F17:L17"/>
    <mergeCell ref="R17:U17"/>
    <mergeCell ref="C19:E19"/>
    <mergeCell ref="F19:L19"/>
    <mergeCell ref="M22:Q22"/>
    <mergeCell ref="R22:U22"/>
    <mergeCell ref="W23:X23"/>
    <mergeCell ref="AC24:AD24"/>
    <mergeCell ref="AE24:AF24"/>
    <mergeCell ref="M23:Q23"/>
    <mergeCell ref="R23:U23"/>
    <mergeCell ref="M24:Q24"/>
    <mergeCell ref="R24:U24"/>
    <mergeCell ref="AE23:AF23"/>
    <mergeCell ref="AC21:AD21"/>
    <mergeCell ref="AE21:AF21"/>
    <mergeCell ref="AC22:AD22"/>
    <mergeCell ref="AA36:AL36"/>
    <mergeCell ref="AA38:AG38"/>
    <mergeCell ref="AG34:AL35"/>
    <mergeCell ref="R4:Z4"/>
    <mergeCell ref="W13:X13"/>
    <mergeCell ref="W14:X14"/>
    <mergeCell ref="R14:U14"/>
    <mergeCell ref="Y8:AC8"/>
    <mergeCell ref="AG23:AL23"/>
    <mergeCell ref="AG24:AL24"/>
    <mergeCell ref="AE19:AF19"/>
    <mergeCell ref="AD8:AH8"/>
    <mergeCell ref="AC9:AL12"/>
    <mergeCell ref="AG21:AL21"/>
    <mergeCell ref="AG22:AL22"/>
    <mergeCell ref="AG19:AL19"/>
    <mergeCell ref="AG20:AL20"/>
    <mergeCell ref="AG18:AL18"/>
    <mergeCell ref="W10:X10"/>
    <mergeCell ref="W12:X12"/>
    <mergeCell ref="W16:X16"/>
    <mergeCell ref="B25:B36"/>
    <mergeCell ref="AA25:AB25"/>
    <mergeCell ref="AC25:AF25"/>
    <mergeCell ref="AG25:AL25"/>
    <mergeCell ref="AA26:AF27"/>
    <mergeCell ref="AG26:AL27"/>
    <mergeCell ref="AA29:AL31"/>
    <mergeCell ref="AA32:AF33"/>
    <mergeCell ref="AG32:AL33"/>
    <mergeCell ref="AA34:AF35"/>
    <mergeCell ref="C24:E24"/>
    <mergeCell ref="F24:L24"/>
    <mergeCell ref="W24:X24"/>
    <mergeCell ref="AC23:AD23"/>
    <mergeCell ref="W15:X15"/>
    <mergeCell ref="AC13:AD14"/>
    <mergeCell ref="AE13:AF14"/>
    <mergeCell ref="AG15:AL15"/>
    <mergeCell ref="AG16:AL16"/>
    <mergeCell ref="AG17:AL17"/>
    <mergeCell ref="W22:X22"/>
    <mergeCell ref="W20:X20"/>
    <mergeCell ref="AC20:AD20"/>
    <mergeCell ref="AE20:AF20"/>
    <mergeCell ref="AC18:AD18"/>
    <mergeCell ref="AE18:AF18"/>
    <mergeCell ref="W18:X18"/>
    <mergeCell ref="AC17:AD17"/>
    <mergeCell ref="AE17:AF17"/>
    <mergeCell ref="W17:X17"/>
    <mergeCell ref="AE22:AF22"/>
    <mergeCell ref="W19:X19"/>
    <mergeCell ref="AC19:AD19"/>
    <mergeCell ref="W21:X21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77" orientation="landscape" r:id="rId3"/>
  <headerFooter alignWithMargins="0">
    <oddFooter>&amp;R&amp;8F083-Blank_COC_DWLong_20190104</oddFooter>
  </headerFooter>
  <rowBreaks count="1" manualBreakCount="1">
    <brk id="40" max="16383" man="1"/>
  </rowBreaks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V59"/>
  <sheetViews>
    <sheetView topLeftCell="A32" zoomScaleNormal="100" zoomScalePageLayoutView="70" workbookViewId="0">
      <selection activeCell="AD25" sqref="AD25:AE27"/>
    </sheetView>
  </sheetViews>
  <sheetFormatPr defaultColWidth="2.7109375" defaultRowHeight="15" customHeight="1"/>
  <cols>
    <col min="1" max="12" width="2.7109375" style="252" customWidth="1"/>
    <col min="13" max="13" width="3.28515625" style="252" customWidth="1"/>
    <col min="14" max="27" width="2.7109375" style="252" customWidth="1"/>
    <col min="28" max="28" width="6.28515625" style="252" customWidth="1"/>
    <col min="29" max="29" width="2.7109375" style="252" customWidth="1"/>
    <col min="30" max="30" width="4.28515625" style="252" customWidth="1"/>
    <col min="31" max="31" width="3.140625" style="252" customWidth="1"/>
    <col min="32" max="32" width="5.85546875" style="252" customWidth="1"/>
    <col min="33" max="35" width="3.140625" style="252" customWidth="1"/>
    <col min="36" max="36" width="2.7109375" style="252" customWidth="1"/>
    <col min="37" max="37" width="5.28515625" style="252" customWidth="1"/>
    <col min="38" max="43" width="2.7109375" style="252" customWidth="1"/>
    <col min="44" max="44" width="3.7109375" style="253" customWidth="1"/>
    <col min="45" max="16384" width="2.7109375" style="252"/>
  </cols>
  <sheetData>
    <row r="1" spans="1:45" s="318" customFormat="1" ht="15" customHeight="1">
      <c r="A1" s="350"/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9" t="s">
        <v>30</v>
      </c>
      <c r="T1" s="349"/>
      <c r="U1" s="347"/>
      <c r="V1" s="347"/>
      <c r="W1" s="348"/>
      <c r="X1" s="348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7"/>
      <c r="AJ1" s="1257" t="s">
        <v>845</v>
      </c>
      <c r="AK1" s="1257"/>
      <c r="AL1" s="1257"/>
      <c r="AM1" s="1257"/>
      <c r="AN1" s="1257"/>
      <c r="AO1" s="1257"/>
      <c r="AP1" s="1257"/>
      <c r="AQ1" s="346"/>
      <c r="AR1" s="334"/>
      <c r="AS1" s="335"/>
    </row>
    <row r="2" spans="1:45" s="318" customFormat="1" ht="15" customHeight="1">
      <c r="A2" s="328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19"/>
      <c r="O2" s="319"/>
      <c r="P2" s="319"/>
      <c r="Q2" s="319"/>
      <c r="R2" s="319"/>
      <c r="S2" s="345" t="s">
        <v>844</v>
      </c>
      <c r="T2" s="345"/>
      <c r="U2" s="319"/>
      <c r="V2" s="319"/>
      <c r="W2" s="319"/>
      <c r="X2" s="319"/>
      <c r="Y2" s="319"/>
      <c r="Z2" s="319"/>
      <c r="AA2" s="319"/>
      <c r="AB2" s="319"/>
      <c r="AC2" s="319"/>
      <c r="AD2" s="319"/>
      <c r="AE2" s="319"/>
      <c r="AF2" s="319"/>
      <c r="AG2" s="319"/>
      <c r="AH2" s="319"/>
      <c r="AI2" s="319"/>
      <c r="AJ2" s="344"/>
      <c r="AK2" s="342"/>
      <c r="AL2" s="343"/>
      <c r="AM2" s="342"/>
      <c r="AN2" s="343"/>
      <c r="AO2" s="342"/>
      <c r="AP2" s="341"/>
      <c r="AQ2" s="336"/>
      <c r="AR2" s="319"/>
      <c r="AS2" s="335"/>
    </row>
    <row r="3" spans="1:45" s="318" customFormat="1" ht="15" customHeight="1">
      <c r="A3" s="328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40" t="s">
        <v>843</v>
      </c>
      <c r="T3" s="340"/>
      <c r="U3" s="334"/>
      <c r="V3" s="334"/>
      <c r="W3" s="319"/>
      <c r="X3" s="319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19"/>
      <c r="AJ3" s="339"/>
      <c r="AK3" s="338"/>
      <c r="AL3" s="330"/>
      <c r="AM3" s="338"/>
      <c r="AN3" s="330"/>
      <c r="AO3" s="338"/>
      <c r="AP3" s="337"/>
      <c r="AQ3" s="336"/>
      <c r="AR3" s="319"/>
      <c r="AS3" s="335"/>
    </row>
    <row r="4" spans="1:45" s="318" customFormat="1" ht="15" customHeight="1">
      <c r="A4" s="328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34"/>
      <c r="O4" s="334"/>
      <c r="P4" s="334"/>
      <c r="Q4" s="334"/>
      <c r="R4" s="334"/>
      <c r="S4" s="332"/>
      <c r="T4" s="332"/>
      <c r="U4" s="334"/>
      <c r="V4" s="334"/>
      <c r="W4" s="319"/>
      <c r="X4" s="319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19"/>
      <c r="AJ4" s="331"/>
      <c r="AK4" s="330"/>
      <c r="AL4" s="330"/>
      <c r="AM4" s="330"/>
      <c r="AN4" s="330"/>
      <c r="AO4" s="330"/>
      <c r="AP4" s="329"/>
      <c r="AQ4" s="324"/>
      <c r="AR4" s="319"/>
    </row>
    <row r="5" spans="1:45" s="318" customFormat="1" ht="15" customHeight="1">
      <c r="A5" s="328"/>
      <c r="B5" s="319"/>
      <c r="C5" s="319"/>
      <c r="D5" s="319"/>
      <c r="E5" s="333" t="s">
        <v>842</v>
      </c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32"/>
      <c r="T5" s="332"/>
      <c r="U5" s="319"/>
      <c r="V5" s="319"/>
      <c r="W5" s="319"/>
      <c r="X5" s="319"/>
      <c r="Y5" s="319"/>
      <c r="Z5" s="319"/>
      <c r="AA5" s="319"/>
      <c r="AB5" s="319"/>
      <c r="AC5" s="319"/>
      <c r="AD5" s="319"/>
      <c r="AE5" s="319"/>
      <c r="AF5" s="319"/>
      <c r="AG5" s="319"/>
      <c r="AH5" s="319"/>
      <c r="AI5" s="319"/>
      <c r="AJ5" s="331"/>
      <c r="AK5" s="330"/>
      <c r="AL5" s="330"/>
      <c r="AM5" s="330"/>
      <c r="AN5" s="330"/>
      <c r="AO5" s="330"/>
      <c r="AP5" s="329"/>
      <c r="AQ5" s="324"/>
      <c r="AR5" s="319"/>
    </row>
    <row r="6" spans="1:45" s="318" customFormat="1" ht="15" customHeight="1">
      <c r="A6" s="328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  <c r="V6" s="319"/>
      <c r="W6" s="319"/>
      <c r="X6" s="319"/>
      <c r="Y6" s="319"/>
      <c r="Z6" s="319"/>
      <c r="AA6" s="319"/>
      <c r="AB6" s="319"/>
      <c r="AC6" s="319"/>
      <c r="AD6" s="319"/>
      <c r="AE6" s="319"/>
      <c r="AF6" s="319"/>
      <c r="AG6" s="319"/>
      <c r="AH6" s="319"/>
      <c r="AI6" s="319"/>
      <c r="AJ6" s="327"/>
      <c r="AK6" s="326"/>
      <c r="AL6" s="326"/>
      <c r="AM6" s="326"/>
      <c r="AN6" s="326"/>
      <c r="AO6" s="326"/>
      <c r="AP6" s="325"/>
      <c r="AQ6" s="324"/>
      <c r="AR6" s="319"/>
    </row>
    <row r="7" spans="1:45" s="318" customFormat="1" ht="3.75" customHeight="1" thickBot="1">
      <c r="A7" s="323"/>
      <c r="B7" s="321"/>
      <c r="C7" s="321"/>
      <c r="D7" s="321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2"/>
      <c r="T7" s="322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  <c r="AM7" s="321"/>
      <c r="AN7" s="321"/>
      <c r="AO7" s="321"/>
      <c r="AP7" s="321"/>
      <c r="AQ7" s="320"/>
      <c r="AR7" s="319"/>
    </row>
    <row r="8" spans="1:45" ht="14.25" customHeight="1" thickBot="1">
      <c r="A8" s="317" t="s">
        <v>841</v>
      </c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  <c r="AF8" s="299"/>
      <c r="AG8" s="299"/>
      <c r="AH8" s="1239" t="s">
        <v>840</v>
      </c>
      <c r="AI8" s="1239"/>
      <c r="AJ8" s="1239"/>
      <c r="AK8" s="1239"/>
      <c r="AL8" s="1239"/>
      <c r="AM8" s="1239"/>
      <c r="AN8" s="1239"/>
      <c r="AO8" s="1239"/>
      <c r="AP8" s="1239"/>
      <c r="AQ8" s="1239"/>
    </row>
    <row r="9" spans="1:45" ht="40.15" customHeight="1">
      <c r="A9" s="411" t="s">
        <v>839</v>
      </c>
      <c r="B9" s="412"/>
      <c r="C9" s="412"/>
      <c r="D9" s="1229"/>
      <c r="E9" s="1229"/>
      <c r="F9" s="1229"/>
      <c r="G9" s="1229"/>
      <c r="H9" s="1229"/>
      <c r="I9" s="1229"/>
      <c r="J9" s="1229"/>
      <c r="K9" s="1229"/>
      <c r="L9" s="1229"/>
      <c r="M9" s="1229"/>
      <c r="N9" s="413" t="s">
        <v>838</v>
      </c>
      <c r="O9" s="412"/>
      <c r="P9" s="412"/>
      <c r="Q9" s="1229"/>
      <c r="R9" s="1229"/>
      <c r="S9" s="1229"/>
      <c r="T9" s="1229"/>
      <c r="U9" s="1229"/>
      <c r="V9" s="1229"/>
      <c r="W9" s="1229"/>
      <c r="X9" s="1229"/>
      <c r="Y9" s="1230"/>
      <c r="Z9" s="1287" t="s">
        <v>837</v>
      </c>
      <c r="AA9" s="1291" t="s">
        <v>836</v>
      </c>
      <c r="AB9" s="1311" t="s">
        <v>835</v>
      </c>
      <c r="AC9" s="1269" t="s">
        <v>1140</v>
      </c>
      <c r="AD9" s="1266" t="s">
        <v>834</v>
      </c>
      <c r="AE9" s="1269" t="s">
        <v>1141</v>
      </c>
      <c r="AF9" s="1272" t="s">
        <v>833</v>
      </c>
      <c r="AG9" s="1275" t="s">
        <v>832</v>
      </c>
      <c r="AH9" s="1263" t="s">
        <v>831</v>
      </c>
      <c r="AI9" s="1260" t="s">
        <v>830</v>
      </c>
      <c r="AJ9" s="1220" t="s">
        <v>829</v>
      </c>
      <c r="AK9" s="1221"/>
      <c r="AL9" s="1221"/>
      <c r="AM9" s="1221"/>
      <c r="AN9" s="1221"/>
      <c r="AO9" s="1221"/>
      <c r="AP9" s="1221"/>
      <c r="AQ9" s="1222"/>
      <c r="AR9" s="252"/>
    </row>
    <row r="10" spans="1:45" ht="40.15" customHeight="1">
      <c r="A10" s="414" t="s">
        <v>828</v>
      </c>
      <c r="B10" s="415"/>
      <c r="C10" s="415"/>
      <c r="D10" s="1231"/>
      <c r="E10" s="1231"/>
      <c r="F10" s="1231"/>
      <c r="G10" s="1231"/>
      <c r="H10" s="1231"/>
      <c r="I10" s="1231"/>
      <c r="J10" s="1231"/>
      <c r="K10" s="1231"/>
      <c r="L10" s="1231"/>
      <c r="M10" s="1231"/>
      <c r="N10" s="415" t="s">
        <v>827</v>
      </c>
      <c r="O10" s="415"/>
      <c r="P10" s="1231"/>
      <c r="Q10" s="1231"/>
      <c r="R10" s="1231"/>
      <c r="S10" s="1231"/>
      <c r="T10" s="1231"/>
      <c r="U10" s="1231"/>
      <c r="V10" s="1231"/>
      <c r="W10" s="1231"/>
      <c r="X10" s="1231"/>
      <c r="Y10" s="1232"/>
      <c r="Z10" s="1288"/>
      <c r="AA10" s="1292"/>
      <c r="AB10" s="1312"/>
      <c r="AC10" s="1270"/>
      <c r="AD10" s="1267"/>
      <c r="AE10" s="1270"/>
      <c r="AF10" s="1273"/>
      <c r="AG10" s="1261"/>
      <c r="AH10" s="1264"/>
      <c r="AI10" s="1261"/>
      <c r="AJ10" s="1223"/>
      <c r="AK10" s="1224"/>
      <c r="AL10" s="1224"/>
      <c r="AM10" s="1224"/>
      <c r="AN10" s="1224"/>
      <c r="AO10" s="1224"/>
      <c r="AP10" s="1224"/>
      <c r="AQ10" s="1225"/>
      <c r="AR10" s="252"/>
    </row>
    <row r="11" spans="1:45" ht="40.15" customHeight="1">
      <c r="A11" s="414" t="s">
        <v>826</v>
      </c>
      <c r="B11" s="415"/>
      <c r="C11" s="415"/>
      <c r="D11" s="415"/>
      <c r="E11" s="415"/>
      <c r="F11" s="415"/>
      <c r="G11" s="415"/>
      <c r="H11" s="415"/>
      <c r="I11" s="415"/>
      <c r="J11" s="415"/>
      <c r="K11" s="415"/>
      <c r="L11" s="415"/>
      <c r="M11" s="415"/>
      <c r="N11" s="1231"/>
      <c r="O11" s="1231"/>
      <c r="P11" s="1231"/>
      <c r="Q11" s="1231"/>
      <c r="R11" s="1231"/>
      <c r="S11" s="1231"/>
      <c r="T11" s="1231"/>
      <c r="U11" s="1231"/>
      <c r="V11" s="1231"/>
      <c r="W11" s="1231"/>
      <c r="X11" s="1231"/>
      <c r="Y11" s="1232"/>
      <c r="Z11" s="1288"/>
      <c r="AA11" s="1292"/>
      <c r="AB11" s="1312"/>
      <c r="AC11" s="1270"/>
      <c r="AD11" s="1267"/>
      <c r="AE11" s="1270"/>
      <c r="AF11" s="1273"/>
      <c r="AG11" s="1261"/>
      <c r="AH11" s="1264"/>
      <c r="AI11" s="1261"/>
      <c r="AJ11" s="1223"/>
      <c r="AK11" s="1224"/>
      <c r="AL11" s="1224"/>
      <c r="AM11" s="1224"/>
      <c r="AN11" s="1224"/>
      <c r="AO11" s="1224"/>
      <c r="AP11" s="1224"/>
      <c r="AQ11" s="1225"/>
      <c r="AR11" s="252"/>
    </row>
    <row r="12" spans="1:45" ht="49.9" customHeight="1" thickBot="1">
      <c r="A12" s="416" t="s">
        <v>439</v>
      </c>
      <c r="B12" s="417"/>
      <c r="C12" s="417"/>
      <c r="D12" s="417"/>
      <c r="E12" s="417"/>
      <c r="F12" s="1233" t="str">
        <f>'2 - Kit Request'!C10</f>
        <v>Kenai River Baseline Water Quality Monitoring</v>
      </c>
      <c r="G12" s="1233"/>
      <c r="H12" s="1233"/>
      <c r="I12" s="1233"/>
      <c r="J12" s="1233"/>
      <c r="K12" s="1233"/>
      <c r="L12" s="1233"/>
      <c r="M12" s="1233"/>
      <c r="N12" s="1233"/>
      <c r="O12" s="1233"/>
      <c r="P12" s="1233"/>
      <c r="Q12" s="1233"/>
      <c r="R12" s="1233"/>
      <c r="S12" s="1233"/>
      <c r="T12" s="1233"/>
      <c r="U12" s="1233"/>
      <c r="V12" s="1233"/>
      <c r="W12" s="1233"/>
      <c r="X12" s="1233"/>
      <c r="Y12" s="1234"/>
      <c r="Z12" s="1288"/>
      <c r="AA12" s="1292"/>
      <c r="AB12" s="1312"/>
      <c r="AC12" s="1270"/>
      <c r="AD12" s="1267"/>
      <c r="AE12" s="1270"/>
      <c r="AF12" s="1273"/>
      <c r="AG12" s="1261"/>
      <c r="AH12" s="1264"/>
      <c r="AI12" s="1261"/>
      <c r="AJ12" s="1223"/>
      <c r="AK12" s="1224"/>
      <c r="AL12" s="1224"/>
      <c r="AM12" s="1224"/>
      <c r="AN12" s="1224"/>
      <c r="AO12" s="1224"/>
      <c r="AP12" s="1224"/>
      <c r="AQ12" s="1225"/>
      <c r="AR12" s="252"/>
    </row>
    <row r="13" spans="1:45" ht="17.45" customHeight="1">
      <c r="A13" s="1216" t="s">
        <v>825</v>
      </c>
      <c r="B13" s="1217"/>
      <c r="C13" s="1217"/>
      <c r="D13" s="1217"/>
      <c r="E13" s="1217"/>
      <c r="F13" s="1217"/>
      <c r="G13" s="1217"/>
      <c r="H13" s="1217"/>
      <c r="I13" s="1217"/>
      <c r="J13" s="1217"/>
      <c r="K13" s="1217"/>
      <c r="L13" s="1217"/>
      <c r="M13" s="1217"/>
      <c r="N13" s="1217"/>
      <c r="O13" s="1217"/>
      <c r="P13" s="1217"/>
      <c r="Q13" s="1217"/>
      <c r="R13" s="1217"/>
      <c r="S13" s="1217"/>
      <c r="T13" s="1217"/>
      <c r="U13" s="1217"/>
      <c r="V13" s="1217"/>
      <c r="W13" s="1217"/>
      <c r="X13" s="1217"/>
      <c r="Y13" s="1217"/>
      <c r="Z13" s="1288"/>
      <c r="AA13" s="1292"/>
      <c r="AB13" s="1312"/>
      <c r="AC13" s="1270"/>
      <c r="AD13" s="1267"/>
      <c r="AE13" s="1270"/>
      <c r="AF13" s="1273"/>
      <c r="AG13" s="1261"/>
      <c r="AH13" s="1264"/>
      <c r="AI13" s="1261"/>
      <c r="AJ13" s="1223"/>
      <c r="AK13" s="1224"/>
      <c r="AL13" s="1224"/>
      <c r="AM13" s="1224"/>
      <c r="AN13" s="1224"/>
      <c r="AO13" s="1224"/>
      <c r="AP13" s="1224"/>
      <c r="AQ13" s="1225"/>
      <c r="AR13" s="252"/>
    </row>
    <row r="14" spans="1:45" ht="17.45" customHeight="1">
      <c r="A14" s="418" t="s">
        <v>824</v>
      </c>
      <c r="B14" s="418"/>
      <c r="C14" s="418"/>
      <c r="D14" s="418"/>
      <c r="E14" s="1235"/>
      <c r="F14" s="1236"/>
      <c r="G14" s="1236"/>
      <c r="H14" s="1236"/>
      <c r="I14" s="1236"/>
      <c r="J14" s="1236"/>
      <c r="K14" s="1236"/>
      <c r="L14" s="1236"/>
      <c r="M14" s="1237"/>
      <c r="N14" s="418" t="s">
        <v>823</v>
      </c>
      <c r="O14" s="418"/>
      <c r="P14" s="418"/>
      <c r="Q14" s="1235"/>
      <c r="R14" s="1236"/>
      <c r="S14" s="1236"/>
      <c r="T14" s="1236"/>
      <c r="U14" s="1236"/>
      <c r="V14" s="1236"/>
      <c r="W14" s="1236"/>
      <c r="X14" s="1236"/>
      <c r="Y14" s="1237"/>
      <c r="Z14" s="1289"/>
      <c r="AA14" s="1292"/>
      <c r="AB14" s="1312"/>
      <c r="AC14" s="1270"/>
      <c r="AD14" s="1267"/>
      <c r="AE14" s="1270"/>
      <c r="AF14" s="1273"/>
      <c r="AG14" s="1261"/>
      <c r="AH14" s="1264"/>
      <c r="AI14" s="1261"/>
      <c r="AJ14" s="1223"/>
      <c r="AK14" s="1224"/>
      <c r="AL14" s="1224"/>
      <c r="AM14" s="1224"/>
      <c r="AN14" s="1224"/>
      <c r="AO14" s="1224"/>
      <c r="AP14" s="1224"/>
      <c r="AQ14" s="1225"/>
      <c r="AR14" s="252"/>
    </row>
    <row r="15" spans="1:45" ht="26.45" customHeight="1">
      <c r="A15" s="1297" t="s">
        <v>822</v>
      </c>
      <c r="B15" s="1214"/>
      <c r="C15" s="1214"/>
      <c r="D15" s="1214"/>
      <c r="E15" s="1214"/>
      <c r="F15" s="1214"/>
      <c r="G15" s="1214"/>
      <c r="H15" s="1214"/>
      <c r="I15" s="1214"/>
      <c r="J15" s="1214"/>
      <c r="K15" s="1214"/>
      <c r="L15" s="1214"/>
      <c r="M15" s="1214"/>
      <c r="N15" s="1214"/>
      <c r="O15" s="1214"/>
      <c r="P15" s="1214"/>
      <c r="Q15" s="1214"/>
      <c r="R15" s="1214"/>
      <c r="S15" s="1214"/>
      <c r="T15" s="1214"/>
      <c r="U15" s="1214"/>
      <c r="V15" s="1214"/>
      <c r="W15" s="1214"/>
      <c r="X15" s="1214"/>
      <c r="Y15" s="1214"/>
      <c r="Z15" s="1288"/>
      <c r="AA15" s="1292"/>
      <c r="AB15" s="1312"/>
      <c r="AC15" s="1270"/>
      <c r="AD15" s="1267"/>
      <c r="AE15" s="1270"/>
      <c r="AF15" s="1273"/>
      <c r="AG15" s="1261"/>
      <c r="AH15" s="1264"/>
      <c r="AI15" s="1261"/>
      <c r="AJ15" s="1223"/>
      <c r="AK15" s="1224"/>
      <c r="AL15" s="1224"/>
      <c r="AM15" s="1224"/>
      <c r="AN15" s="1224"/>
      <c r="AO15" s="1224"/>
      <c r="AP15" s="1224"/>
      <c r="AQ15" s="1225"/>
      <c r="AR15" s="252"/>
    </row>
    <row r="16" spans="1:45" ht="18" customHeight="1">
      <c r="A16" s="1298"/>
      <c r="B16" s="1214"/>
      <c r="C16" s="1214"/>
      <c r="D16" s="1214"/>
      <c r="E16" s="1214"/>
      <c r="F16" s="1214"/>
      <c r="G16" s="1214"/>
      <c r="H16" s="1214"/>
      <c r="I16" s="1214"/>
      <c r="J16" s="1214"/>
      <c r="K16" s="1214"/>
      <c r="L16" s="1214"/>
      <c r="M16" s="1214"/>
      <c r="N16" s="1214"/>
      <c r="O16" s="1214"/>
      <c r="P16" s="1214"/>
      <c r="Q16" s="1214"/>
      <c r="R16" s="1214"/>
      <c r="S16" s="1214"/>
      <c r="T16" s="1214"/>
      <c r="U16" s="1214"/>
      <c r="V16" s="1214"/>
      <c r="W16" s="1214"/>
      <c r="X16" s="1214"/>
      <c r="Y16" s="1214"/>
      <c r="Z16" s="1288"/>
      <c r="AA16" s="1292"/>
      <c r="AB16" s="1312"/>
      <c r="AC16" s="1270"/>
      <c r="AD16" s="1267"/>
      <c r="AE16" s="1270"/>
      <c r="AF16" s="1273"/>
      <c r="AG16" s="1261"/>
      <c r="AH16" s="1264"/>
      <c r="AI16" s="1261"/>
      <c r="AJ16" s="1223"/>
      <c r="AK16" s="1224"/>
      <c r="AL16" s="1224"/>
      <c r="AM16" s="1224"/>
      <c r="AN16" s="1224"/>
      <c r="AO16" s="1224"/>
      <c r="AP16" s="1224"/>
      <c r="AQ16" s="1225"/>
      <c r="AR16" s="252"/>
    </row>
    <row r="17" spans="1:44" ht="18" customHeight="1">
      <c r="A17" s="1298"/>
      <c r="B17" s="1214"/>
      <c r="C17" s="1214"/>
      <c r="D17" s="1214"/>
      <c r="E17" s="1214"/>
      <c r="F17" s="1214"/>
      <c r="G17" s="1214"/>
      <c r="H17" s="1214"/>
      <c r="I17" s="1214"/>
      <c r="J17" s="1214"/>
      <c r="K17" s="1214"/>
      <c r="L17" s="1214"/>
      <c r="M17" s="1214"/>
      <c r="N17" s="1214"/>
      <c r="O17" s="1214"/>
      <c r="P17" s="1214"/>
      <c r="Q17" s="1214"/>
      <c r="R17" s="1214"/>
      <c r="S17" s="1214"/>
      <c r="T17" s="1214"/>
      <c r="U17" s="1214"/>
      <c r="V17" s="1214"/>
      <c r="W17" s="1214"/>
      <c r="X17" s="1214"/>
      <c r="Y17" s="1214"/>
      <c r="Z17" s="1288"/>
      <c r="AA17" s="1292"/>
      <c r="AB17" s="1312"/>
      <c r="AC17" s="1270"/>
      <c r="AD17" s="1267"/>
      <c r="AE17" s="1270"/>
      <c r="AF17" s="1273"/>
      <c r="AG17" s="1261"/>
      <c r="AH17" s="1264"/>
      <c r="AI17" s="1261"/>
      <c r="AJ17" s="1223"/>
      <c r="AK17" s="1224"/>
      <c r="AL17" s="1224"/>
      <c r="AM17" s="1224"/>
      <c r="AN17" s="1224"/>
      <c r="AO17" s="1224"/>
      <c r="AP17" s="1224"/>
      <c r="AQ17" s="1225"/>
      <c r="AR17" s="252"/>
    </row>
    <row r="18" spans="1:44" ht="18" customHeight="1">
      <c r="A18" s="1299"/>
      <c r="B18" s="1300"/>
      <c r="C18" s="1300"/>
      <c r="D18" s="1300"/>
      <c r="E18" s="1300"/>
      <c r="F18" s="1300"/>
      <c r="G18" s="1300"/>
      <c r="H18" s="1300"/>
      <c r="I18" s="1300"/>
      <c r="J18" s="1300"/>
      <c r="K18" s="1300"/>
      <c r="L18" s="1300"/>
      <c r="M18" s="1300"/>
      <c r="N18" s="1214"/>
      <c r="O18" s="1214"/>
      <c r="P18" s="1214"/>
      <c r="Q18" s="1214"/>
      <c r="R18" s="1214"/>
      <c r="S18" s="1214"/>
      <c r="T18" s="1214"/>
      <c r="U18" s="1214"/>
      <c r="V18" s="1214"/>
      <c r="W18" s="1214"/>
      <c r="X18" s="1214"/>
      <c r="Y18" s="1214"/>
      <c r="Z18" s="1288"/>
      <c r="AA18" s="1292"/>
      <c r="AB18" s="1312"/>
      <c r="AC18" s="1270"/>
      <c r="AD18" s="1267"/>
      <c r="AE18" s="1270"/>
      <c r="AF18" s="1273"/>
      <c r="AG18" s="1261"/>
      <c r="AH18" s="1264"/>
      <c r="AI18" s="1261"/>
      <c r="AJ18" s="1223"/>
      <c r="AK18" s="1224"/>
      <c r="AL18" s="1224"/>
      <c r="AM18" s="1224"/>
      <c r="AN18" s="1224"/>
      <c r="AO18" s="1224"/>
      <c r="AP18" s="1224"/>
      <c r="AQ18" s="1225"/>
      <c r="AR18" s="252"/>
    </row>
    <row r="19" spans="1:44" ht="18" customHeight="1">
      <c r="A19" s="1301" t="s">
        <v>821</v>
      </c>
      <c r="B19" s="1302"/>
      <c r="C19" s="1302"/>
      <c r="D19" s="1302"/>
      <c r="E19" s="1302"/>
      <c r="F19" s="1302"/>
      <c r="G19" s="1302"/>
      <c r="H19" s="1302"/>
      <c r="I19" s="1302"/>
      <c r="J19" s="1302"/>
      <c r="K19" s="1302"/>
      <c r="L19" s="1302"/>
      <c r="M19" s="1302"/>
      <c r="N19" s="1294" t="s">
        <v>29</v>
      </c>
      <c r="O19" s="1294"/>
      <c r="P19" s="1294"/>
      <c r="Q19" s="1294"/>
      <c r="R19" s="1294"/>
      <c r="S19" s="1294"/>
      <c r="T19" s="1294"/>
      <c r="U19" s="1294"/>
      <c r="V19" s="1294"/>
      <c r="W19" s="1294"/>
      <c r="X19" s="1294"/>
      <c r="Y19" s="1295"/>
      <c r="Z19" s="1288"/>
      <c r="AA19" s="1292"/>
      <c r="AB19" s="1312"/>
      <c r="AC19" s="1270"/>
      <c r="AD19" s="1267"/>
      <c r="AE19" s="1270"/>
      <c r="AF19" s="1273"/>
      <c r="AG19" s="1261"/>
      <c r="AH19" s="1264"/>
      <c r="AI19" s="1261"/>
      <c r="AJ19" s="1223"/>
      <c r="AK19" s="1224"/>
      <c r="AL19" s="1224"/>
      <c r="AM19" s="1224"/>
      <c r="AN19" s="1224"/>
      <c r="AO19" s="1224"/>
      <c r="AP19" s="1224"/>
      <c r="AQ19" s="1225"/>
      <c r="AR19" s="252"/>
    </row>
    <row r="20" spans="1:44" ht="18" customHeight="1">
      <c r="A20" s="1303"/>
      <c r="B20" s="1304"/>
      <c r="C20" s="1304"/>
      <c r="D20" s="1304"/>
      <c r="E20" s="1304"/>
      <c r="F20" s="1304"/>
      <c r="G20" s="1304"/>
      <c r="H20" s="1304"/>
      <c r="I20" s="1304"/>
      <c r="J20" s="1304"/>
      <c r="K20" s="1304"/>
      <c r="L20" s="1304"/>
      <c r="M20" s="1304"/>
      <c r="N20" s="1214"/>
      <c r="O20" s="1214"/>
      <c r="P20" s="1214"/>
      <c r="Q20" s="1214"/>
      <c r="R20" s="1214"/>
      <c r="S20" s="1214"/>
      <c r="T20" s="1214"/>
      <c r="U20" s="1214"/>
      <c r="V20" s="1214"/>
      <c r="W20" s="1214"/>
      <c r="X20" s="1214"/>
      <c r="Y20" s="1296"/>
      <c r="Z20" s="1288"/>
      <c r="AA20" s="1292"/>
      <c r="AB20" s="1312"/>
      <c r="AC20" s="1270"/>
      <c r="AD20" s="1267"/>
      <c r="AE20" s="1270"/>
      <c r="AF20" s="1273"/>
      <c r="AG20" s="1261"/>
      <c r="AH20" s="1264"/>
      <c r="AI20" s="1261"/>
      <c r="AJ20" s="1223"/>
      <c r="AK20" s="1224"/>
      <c r="AL20" s="1224"/>
      <c r="AM20" s="1224"/>
      <c r="AN20" s="1224"/>
      <c r="AO20" s="1224"/>
      <c r="AP20" s="1224"/>
      <c r="AQ20" s="1225"/>
      <c r="AR20" s="252"/>
    </row>
    <row r="21" spans="1:44" ht="18" customHeight="1">
      <c r="A21" s="1303"/>
      <c r="B21" s="1304"/>
      <c r="C21" s="1304"/>
      <c r="D21" s="1304"/>
      <c r="E21" s="1304"/>
      <c r="F21" s="1304"/>
      <c r="G21" s="1304"/>
      <c r="H21" s="1304"/>
      <c r="I21" s="1304"/>
      <c r="J21" s="1304"/>
      <c r="K21" s="1304"/>
      <c r="L21" s="1304"/>
      <c r="M21" s="1304"/>
      <c r="N21" s="1213" t="s">
        <v>440</v>
      </c>
      <c r="O21" s="1214"/>
      <c r="P21" s="1214"/>
      <c r="Q21" s="1214"/>
      <c r="R21" s="1214"/>
      <c r="S21" s="1214"/>
      <c r="T21" s="1214"/>
      <c r="U21" s="1214"/>
      <c r="V21" s="1214"/>
      <c r="W21" s="1214"/>
      <c r="X21" s="1214"/>
      <c r="Y21" s="1214"/>
      <c r="Z21" s="1288"/>
      <c r="AA21" s="1292"/>
      <c r="AB21" s="1312"/>
      <c r="AC21" s="1270"/>
      <c r="AD21" s="1267"/>
      <c r="AE21" s="1270"/>
      <c r="AF21" s="1273"/>
      <c r="AG21" s="1261"/>
      <c r="AH21" s="1264"/>
      <c r="AI21" s="1261"/>
      <c r="AJ21" s="1223"/>
      <c r="AK21" s="1224"/>
      <c r="AL21" s="1224"/>
      <c r="AM21" s="1224"/>
      <c r="AN21" s="1224"/>
      <c r="AO21" s="1224"/>
      <c r="AP21" s="1224"/>
      <c r="AQ21" s="1225"/>
      <c r="AR21" s="252"/>
    </row>
    <row r="22" spans="1:44" ht="18" customHeight="1" thickBot="1">
      <c r="A22" s="1305"/>
      <c r="B22" s="1306"/>
      <c r="C22" s="1306"/>
      <c r="D22" s="1306"/>
      <c r="E22" s="1306"/>
      <c r="F22" s="1306"/>
      <c r="G22" s="1306"/>
      <c r="H22" s="1306"/>
      <c r="I22" s="1306"/>
      <c r="J22" s="1306"/>
      <c r="K22" s="1306"/>
      <c r="L22" s="1306"/>
      <c r="M22" s="1306"/>
      <c r="N22" s="1215"/>
      <c r="O22" s="1215"/>
      <c r="P22" s="1215"/>
      <c r="Q22" s="1215"/>
      <c r="R22" s="1215"/>
      <c r="S22" s="1215"/>
      <c r="T22" s="1215"/>
      <c r="U22" s="1215"/>
      <c r="V22" s="1215"/>
      <c r="W22" s="1215"/>
      <c r="X22" s="1215"/>
      <c r="Y22" s="1215"/>
      <c r="Z22" s="1288"/>
      <c r="AA22" s="1292"/>
      <c r="AB22" s="1312"/>
      <c r="AC22" s="1270"/>
      <c r="AD22" s="1267"/>
      <c r="AE22" s="1270"/>
      <c r="AF22" s="1273"/>
      <c r="AG22" s="1261"/>
      <c r="AH22" s="1264"/>
      <c r="AI22" s="1261"/>
      <c r="AJ22" s="1223"/>
      <c r="AK22" s="1224"/>
      <c r="AL22" s="1224"/>
      <c r="AM22" s="1224"/>
      <c r="AN22" s="1224"/>
      <c r="AO22" s="1224"/>
      <c r="AP22" s="1224"/>
      <c r="AQ22" s="1225"/>
      <c r="AR22" s="252"/>
    </row>
    <row r="23" spans="1:44" ht="12" customHeight="1">
      <c r="A23" s="316"/>
      <c r="B23" s="315"/>
      <c r="C23" s="315"/>
      <c r="D23" s="314"/>
      <c r="E23" s="299"/>
      <c r="F23" s="299"/>
      <c r="G23" s="299"/>
      <c r="H23" s="299"/>
      <c r="I23" s="299"/>
      <c r="J23" s="299"/>
      <c r="K23" s="299"/>
      <c r="L23" s="299"/>
      <c r="M23" s="299"/>
      <c r="N23" s="253"/>
      <c r="O23" s="253"/>
      <c r="P23" s="253"/>
      <c r="Q23" s="253"/>
      <c r="R23" s="1218" t="s">
        <v>820</v>
      </c>
      <c r="S23" s="1206"/>
      <c r="T23" s="1206"/>
      <c r="U23" s="1219"/>
      <c r="V23" s="1218" t="s">
        <v>820</v>
      </c>
      <c r="W23" s="1206"/>
      <c r="X23" s="1206"/>
      <c r="Y23" s="1206"/>
      <c r="Z23" s="1288"/>
      <c r="AA23" s="1292"/>
      <c r="AB23" s="1312"/>
      <c r="AC23" s="1270"/>
      <c r="AD23" s="1267"/>
      <c r="AE23" s="1270"/>
      <c r="AF23" s="1273"/>
      <c r="AG23" s="1261"/>
      <c r="AH23" s="1264"/>
      <c r="AI23" s="1261"/>
      <c r="AJ23" s="1223"/>
      <c r="AK23" s="1224"/>
      <c r="AL23" s="1224"/>
      <c r="AM23" s="1224"/>
      <c r="AN23" s="1224"/>
      <c r="AO23" s="1224"/>
      <c r="AP23" s="1224"/>
      <c r="AQ23" s="1225"/>
      <c r="AR23" s="252"/>
    </row>
    <row r="24" spans="1:44" ht="15" customHeight="1" thickBot="1">
      <c r="A24" s="313" t="s">
        <v>819</v>
      </c>
      <c r="B24" s="312"/>
      <c r="C24" s="312"/>
      <c r="D24" s="311"/>
      <c r="E24" s="310" t="s">
        <v>818</v>
      </c>
      <c r="F24" s="310"/>
      <c r="G24" s="310"/>
      <c r="H24" s="310"/>
      <c r="I24" s="310"/>
      <c r="J24" s="310"/>
      <c r="K24" s="310"/>
      <c r="L24" s="310"/>
      <c r="M24" s="310"/>
      <c r="N24" s="308"/>
      <c r="O24" s="309"/>
      <c r="P24" s="308"/>
      <c r="Q24" s="308"/>
      <c r="R24" s="1241" t="s">
        <v>11</v>
      </c>
      <c r="S24" s="1239"/>
      <c r="T24" s="1239"/>
      <c r="U24" s="1242"/>
      <c r="V24" s="1241" t="s">
        <v>12</v>
      </c>
      <c r="W24" s="1239"/>
      <c r="X24" s="1239"/>
      <c r="Y24" s="1239"/>
      <c r="Z24" s="1290"/>
      <c r="AA24" s="1293"/>
      <c r="AB24" s="1313"/>
      <c r="AC24" s="1271"/>
      <c r="AD24" s="1268"/>
      <c r="AE24" s="1271"/>
      <c r="AF24" s="1274"/>
      <c r="AG24" s="1262"/>
      <c r="AH24" s="1265"/>
      <c r="AI24" s="1262"/>
      <c r="AJ24" s="1226"/>
      <c r="AK24" s="1227"/>
      <c r="AL24" s="1227"/>
      <c r="AM24" s="1227"/>
      <c r="AN24" s="1227"/>
      <c r="AO24" s="1227"/>
      <c r="AP24" s="1227"/>
      <c r="AQ24" s="1228"/>
      <c r="AR24" s="252"/>
    </row>
    <row r="25" spans="1:44" ht="14.1" customHeight="1">
      <c r="A25" s="1282"/>
      <c r="B25" s="1283"/>
      <c r="C25" s="1283"/>
      <c r="D25" s="1284"/>
      <c r="E25" s="1218"/>
      <c r="F25" s="1206"/>
      <c r="G25" s="1206"/>
      <c r="H25" s="1206"/>
      <c r="I25" s="1206"/>
      <c r="J25" s="1206"/>
      <c r="K25" s="1206"/>
      <c r="L25" s="1206"/>
      <c r="M25" s="1206"/>
      <c r="N25" s="1206"/>
      <c r="O25" s="1206"/>
      <c r="P25" s="1206"/>
      <c r="Q25" s="1219"/>
      <c r="R25" s="1258"/>
      <c r="S25" s="1258"/>
      <c r="T25" s="1258"/>
      <c r="U25" s="1258"/>
      <c r="V25" s="1258"/>
      <c r="W25" s="1258"/>
      <c r="X25" s="1259"/>
      <c r="Y25" s="1256"/>
      <c r="Z25" s="1253"/>
      <c r="AA25" s="1285"/>
      <c r="AB25" s="1253"/>
      <c r="AC25" s="1285"/>
      <c r="AD25" s="1253"/>
      <c r="AE25" s="1254"/>
      <c r="AF25" s="1253"/>
      <c r="AG25" s="1254"/>
      <c r="AH25" s="1253"/>
      <c r="AI25" s="1254"/>
      <c r="AJ25" s="1205"/>
      <c r="AK25" s="1206"/>
      <c r="AL25" s="1206"/>
      <c r="AM25" s="1206"/>
      <c r="AN25" s="1206"/>
      <c r="AO25" s="1206"/>
      <c r="AP25" s="1206"/>
      <c r="AQ25" s="1207"/>
      <c r="AR25" s="252"/>
    </row>
    <row r="26" spans="1:44" ht="14.1" customHeight="1">
      <c r="A26" s="307"/>
      <c r="B26" s="306"/>
      <c r="C26" s="306"/>
      <c r="D26" s="305"/>
      <c r="E26" s="1218"/>
      <c r="F26" s="1206"/>
      <c r="G26" s="1206"/>
      <c r="H26" s="1206"/>
      <c r="I26" s="1206"/>
      <c r="J26" s="1206"/>
      <c r="K26" s="1206"/>
      <c r="L26" s="1206"/>
      <c r="M26" s="1206"/>
      <c r="N26" s="1206"/>
      <c r="O26" s="1206"/>
      <c r="P26" s="1206"/>
      <c r="Q26" s="1219"/>
      <c r="R26" s="1258"/>
      <c r="S26" s="1258"/>
      <c r="T26" s="1258"/>
      <c r="U26" s="1258"/>
      <c r="V26" s="1258"/>
      <c r="W26" s="1258"/>
      <c r="X26" s="1259"/>
      <c r="Y26" s="1256"/>
      <c r="Z26" s="1255"/>
      <c r="AA26" s="1258"/>
      <c r="AB26" s="1255"/>
      <c r="AC26" s="1258"/>
      <c r="AD26" s="1255"/>
      <c r="AE26" s="1256"/>
      <c r="AF26" s="1255"/>
      <c r="AG26" s="1256"/>
      <c r="AH26" s="1255"/>
      <c r="AI26" s="1256"/>
      <c r="AJ26" s="1205"/>
      <c r="AK26" s="1206"/>
      <c r="AL26" s="1206"/>
      <c r="AM26" s="1206"/>
      <c r="AN26" s="1206"/>
      <c r="AO26" s="1206"/>
      <c r="AP26" s="1206"/>
      <c r="AQ26" s="1207"/>
      <c r="AR26" s="252"/>
    </row>
    <row r="27" spans="1:44" ht="14.1" customHeight="1">
      <c r="A27" s="1279"/>
      <c r="B27" s="1280"/>
      <c r="C27" s="1280"/>
      <c r="D27" s="1281"/>
      <c r="E27" s="1259"/>
      <c r="F27" s="1209"/>
      <c r="G27" s="1209"/>
      <c r="H27" s="1209"/>
      <c r="I27" s="1209"/>
      <c r="J27" s="1209"/>
      <c r="K27" s="1209"/>
      <c r="L27" s="1209"/>
      <c r="M27" s="1209"/>
      <c r="N27" s="1209"/>
      <c r="O27" s="1209"/>
      <c r="P27" s="1209"/>
      <c r="Q27" s="1286"/>
      <c r="R27" s="1243"/>
      <c r="S27" s="1243"/>
      <c r="T27" s="1243"/>
      <c r="U27" s="1243"/>
      <c r="V27" s="1243"/>
      <c r="W27" s="1243"/>
      <c r="X27" s="1244"/>
      <c r="Y27" s="1212"/>
      <c r="Z27" s="1211"/>
      <c r="AA27" s="1243"/>
      <c r="AB27" s="1211"/>
      <c r="AC27" s="1243"/>
      <c r="AD27" s="1211"/>
      <c r="AE27" s="1212"/>
      <c r="AF27" s="1211"/>
      <c r="AG27" s="1212"/>
      <c r="AH27" s="1211"/>
      <c r="AI27" s="1212"/>
      <c r="AJ27" s="1208"/>
      <c r="AK27" s="1209"/>
      <c r="AL27" s="1209"/>
      <c r="AM27" s="1209"/>
      <c r="AN27" s="1209"/>
      <c r="AO27" s="1209"/>
      <c r="AP27" s="1209"/>
      <c r="AQ27" s="1210"/>
      <c r="AR27" s="252"/>
    </row>
    <row r="28" spans="1:44" ht="14.1" customHeight="1">
      <c r="A28" s="1276"/>
      <c r="B28" s="1277"/>
      <c r="C28" s="1277"/>
      <c r="D28" s="1278"/>
      <c r="E28" s="1246"/>
      <c r="F28" s="1203"/>
      <c r="G28" s="1203"/>
      <c r="H28" s="1203"/>
      <c r="I28" s="1203"/>
      <c r="J28" s="1203"/>
      <c r="K28" s="1203"/>
      <c r="L28" s="1203"/>
      <c r="M28" s="1203"/>
      <c r="N28" s="1203"/>
      <c r="O28" s="1203"/>
      <c r="P28" s="1203"/>
      <c r="Q28" s="1307"/>
      <c r="R28" s="1243"/>
      <c r="S28" s="1243"/>
      <c r="T28" s="1243"/>
      <c r="U28" s="1243"/>
      <c r="V28" s="1243"/>
      <c r="W28" s="1243"/>
      <c r="X28" s="1244"/>
      <c r="Y28" s="1212"/>
      <c r="Z28" s="1211"/>
      <c r="AA28" s="1243"/>
      <c r="AB28" s="1211"/>
      <c r="AC28" s="1243"/>
      <c r="AD28" s="1211"/>
      <c r="AE28" s="1212"/>
      <c r="AF28" s="1211"/>
      <c r="AG28" s="1212"/>
      <c r="AH28" s="1211"/>
      <c r="AI28" s="1212"/>
      <c r="AJ28" s="1202"/>
      <c r="AK28" s="1203"/>
      <c r="AL28" s="1203"/>
      <c r="AM28" s="1203"/>
      <c r="AN28" s="1203"/>
      <c r="AO28" s="1203"/>
      <c r="AP28" s="1203"/>
      <c r="AQ28" s="1204"/>
      <c r="AR28" s="252"/>
    </row>
    <row r="29" spans="1:44" ht="14.1" customHeight="1">
      <c r="A29" s="307"/>
      <c r="B29" s="306"/>
      <c r="C29" s="306"/>
      <c r="D29" s="305"/>
      <c r="E29" s="1218"/>
      <c r="F29" s="1206"/>
      <c r="G29" s="1206"/>
      <c r="H29" s="1206"/>
      <c r="I29" s="1206"/>
      <c r="J29" s="1206"/>
      <c r="K29" s="1206"/>
      <c r="L29" s="1206"/>
      <c r="M29" s="1206"/>
      <c r="N29" s="1206"/>
      <c r="O29" s="1206"/>
      <c r="P29" s="1206"/>
      <c r="Q29" s="1219"/>
      <c r="R29" s="1243"/>
      <c r="S29" s="1243"/>
      <c r="T29" s="1243"/>
      <c r="U29" s="1243"/>
      <c r="V29" s="1243"/>
      <c r="W29" s="1243"/>
      <c r="X29" s="1244"/>
      <c r="Y29" s="1212"/>
      <c r="Z29" s="1211"/>
      <c r="AA29" s="1243"/>
      <c r="AB29" s="1211"/>
      <c r="AC29" s="1243"/>
      <c r="AD29" s="1211"/>
      <c r="AE29" s="1212"/>
      <c r="AF29" s="1211"/>
      <c r="AG29" s="1212"/>
      <c r="AH29" s="1211"/>
      <c r="AI29" s="1212"/>
      <c r="AJ29" s="1205"/>
      <c r="AK29" s="1206"/>
      <c r="AL29" s="1206"/>
      <c r="AM29" s="1206"/>
      <c r="AN29" s="1206"/>
      <c r="AO29" s="1206"/>
      <c r="AP29" s="1206"/>
      <c r="AQ29" s="1207"/>
      <c r="AR29" s="252"/>
    </row>
    <row r="30" spans="1:44" ht="14.1" customHeight="1">
      <c r="A30" s="1279"/>
      <c r="B30" s="1280"/>
      <c r="C30" s="1280"/>
      <c r="D30" s="1281"/>
      <c r="E30" s="1259"/>
      <c r="F30" s="1209"/>
      <c r="G30" s="1209"/>
      <c r="H30" s="1209"/>
      <c r="I30" s="1209"/>
      <c r="J30" s="1209"/>
      <c r="K30" s="1209"/>
      <c r="L30" s="1209"/>
      <c r="M30" s="1209"/>
      <c r="N30" s="1209"/>
      <c r="O30" s="1209"/>
      <c r="P30" s="1209"/>
      <c r="Q30" s="1286"/>
      <c r="R30" s="1243"/>
      <c r="S30" s="1243"/>
      <c r="T30" s="1243"/>
      <c r="U30" s="1243"/>
      <c r="V30" s="1243"/>
      <c r="W30" s="1243"/>
      <c r="X30" s="1244"/>
      <c r="Y30" s="1212"/>
      <c r="Z30" s="1211"/>
      <c r="AA30" s="1243"/>
      <c r="AB30" s="1211"/>
      <c r="AC30" s="1243"/>
      <c r="AD30" s="1211"/>
      <c r="AE30" s="1212"/>
      <c r="AF30" s="1211"/>
      <c r="AG30" s="1212"/>
      <c r="AH30" s="1211"/>
      <c r="AI30" s="1212"/>
      <c r="AJ30" s="1208"/>
      <c r="AK30" s="1209"/>
      <c r="AL30" s="1209"/>
      <c r="AM30" s="1209"/>
      <c r="AN30" s="1209"/>
      <c r="AO30" s="1209"/>
      <c r="AP30" s="1209"/>
      <c r="AQ30" s="1210"/>
      <c r="AR30" s="252"/>
    </row>
    <row r="31" spans="1:44" ht="14.1" customHeight="1">
      <c r="A31" s="1276"/>
      <c r="B31" s="1277"/>
      <c r="C31" s="1277"/>
      <c r="D31" s="1278"/>
      <c r="E31" s="1246"/>
      <c r="F31" s="1203"/>
      <c r="G31" s="1203"/>
      <c r="H31" s="1203"/>
      <c r="I31" s="1203"/>
      <c r="J31" s="1203"/>
      <c r="K31" s="1203"/>
      <c r="L31" s="1203"/>
      <c r="M31" s="1203"/>
      <c r="N31" s="1203"/>
      <c r="O31" s="1203"/>
      <c r="P31" s="1203"/>
      <c r="Q31" s="1307"/>
      <c r="R31" s="1243"/>
      <c r="S31" s="1243"/>
      <c r="T31" s="1243"/>
      <c r="U31" s="1243"/>
      <c r="V31" s="1243"/>
      <c r="W31" s="1243"/>
      <c r="X31" s="1244"/>
      <c r="Y31" s="1212"/>
      <c r="Z31" s="1211"/>
      <c r="AA31" s="1243"/>
      <c r="AB31" s="1211"/>
      <c r="AC31" s="1243"/>
      <c r="AD31" s="1211"/>
      <c r="AE31" s="1212"/>
      <c r="AF31" s="1211"/>
      <c r="AG31" s="1212"/>
      <c r="AH31" s="1211"/>
      <c r="AI31" s="1212"/>
      <c r="AJ31" s="1202"/>
      <c r="AK31" s="1203"/>
      <c r="AL31" s="1203"/>
      <c r="AM31" s="1203"/>
      <c r="AN31" s="1203"/>
      <c r="AO31" s="1203"/>
      <c r="AP31" s="1203"/>
      <c r="AQ31" s="1204"/>
      <c r="AR31" s="252"/>
    </row>
    <row r="32" spans="1:44" ht="14.1" customHeight="1">
      <c r="A32" s="307"/>
      <c r="B32" s="306"/>
      <c r="C32" s="306"/>
      <c r="D32" s="305"/>
      <c r="E32" s="1218"/>
      <c r="F32" s="1206"/>
      <c r="G32" s="1206"/>
      <c r="H32" s="1206"/>
      <c r="I32" s="1206"/>
      <c r="J32" s="1206"/>
      <c r="K32" s="1206"/>
      <c r="L32" s="1206"/>
      <c r="M32" s="1206"/>
      <c r="N32" s="1206"/>
      <c r="O32" s="1206"/>
      <c r="P32" s="1206"/>
      <c r="Q32" s="1219"/>
      <c r="R32" s="1243"/>
      <c r="S32" s="1243"/>
      <c r="T32" s="1243"/>
      <c r="U32" s="1243"/>
      <c r="V32" s="1243"/>
      <c r="W32" s="1243"/>
      <c r="X32" s="1244"/>
      <c r="Y32" s="1212"/>
      <c r="Z32" s="1211"/>
      <c r="AA32" s="1243"/>
      <c r="AB32" s="1211"/>
      <c r="AC32" s="1243"/>
      <c r="AD32" s="1211"/>
      <c r="AE32" s="1212"/>
      <c r="AF32" s="1211"/>
      <c r="AG32" s="1212"/>
      <c r="AH32" s="1211"/>
      <c r="AI32" s="1212"/>
      <c r="AJ32" s="1205"/>
      <c r="AK32" s="1206"/>
      <c r="AL32" s="1206"/>
      <c r="AM32" s="1206"/>
      <c r="AN32" s="1206"/>
      <c r="AO32" s="1206"/>
      <c r="AP32" s="1206"/>
      <c r="AQ32" s="1207"/>
      <c r="AR32" s="252"/>
    </row>
    <row r="33" spans="1:48" ht="14.1" customHeight="1">
      <c r="A33" s="1279"/>
      <c r="B33" s="1280"/>
      <c r="C33" s="1280"/>
      <c r="D33" s="1281"/>
      <c r="E33" s="1259"/>
      <c r="F33" s="1209"/>
      <c r="G33" s="1209"/>
      <c r="H33" s="1209"/>
      <c r="I33" s="1209"/>
      <c r="J33" s="1209"/>
      <c r="K33" s="1209"/>
      <c r="L33" s="1209"/>
      <c r="M33" s="1209"/>
      <c r="N33" s="1209"/>
      <c r="O33" s="1209"/>
      <c r="P33" s="1209"/>
      <c r="Q33" s="1286"/>
      <c r="R33" s="1243"/>
      <c r="S33" s="1243"/>
      <c r="T33" s="1243"/>
      <c r="U33" s="1243"/>
      <c r="V33" s="1243"/>
      <c r="W33" s="1243"/>
      <c r="X33" s="1244"/>
      <c r="Y33" s="1212"/>
      <c r="Z33" s="1211"/>
      <c r="AA33" s="1243"/>
      <c r="AB33" s="1211"/>
      <c r="AC33" s="1243"/>
      <c r="AD33" s="1211"/>
      <c r="AE33" s="1212"/>
      <c r="AF33" s="1211"/>
      <c r="AG33" s="1212"/>
      <c r="AH33" s="1211"/>
      <c r="AI33" s="1212"/>
      <c r="AJ33" s="1208"/>
      <c r="AK33" s="1209"/>
      <c r="AL33" s="1209"/>
      <c r="AM33" s="1209"/>
      <c r="AN33" s="1209"/>
      <c r="AO33" s="1209"/>
      <c r="AP33" s="1209"/>
      <c r="AQ33" s="1210"/>
      <c r="AR33" s="252"/>
    </row>
    <row r="34" spans="1:48" ht="14.1" customHeight="1">
      <c r="A34" s="1276"/>
      <c r="B34" s="1277"/>
      <c r="C34" s="1277"/>
      <c r="D34" s="1278"/>
      <c r="E34" s="1246"/>
      <c r="F34" s="1203"/>
      <c r="G34" s="1203"/>
      <c r="H34" s="1203"/>
      <c r="I34" s="1203"/>
      <c r="J34" s="1203"/>
      <c r="K34" s="1203"/>
      <c r="L34" s="1203"/>
      <c r="M34" s="1203"/>
      <c r="N34" s="1203"/>
      <c r="O34" s="1203"/>
      <c r="P34" s="1203"/>
      <c r="Q34" s="1307"/>
      <c r="R34" s="1243"/>
      <c r="S34" s="1243"/>
      <c r="T34" s="1243"/>
      <c r="U34" s="1243"/>
      <c r="V34" s="1243"/>
      <c r="W34" s="1243"/>
      <c r="X34" s="1244"/>
      <c r="Y34" s="1212"/>
      <c r="Z34" s="1211"/>
      <c r="AA34" s="1243"/>
      <c r="AB34" s="1211"/>
      <c r="AC34" s="1243"/>
      <c r="AD34" s="1211"/>
      <c r="AE34" s="1212"/>
      <c r="AF34" s="1211"/>
      <c r="AG34" s="1212"/>
      <c r="AH34" s="1211"/>
      <c r="AI34" s="1212"/>
      <c r="AJ34" s="1202"/>
      <c r="AK34" s="1203"/>
      <c r="AL34" s="1203"/>
      <c r="AM34" s="1203"/>
      <c r="AN34" s="1203"/>
      <c r="AO34" s="1203"/>
      <c r="AP34" s="1203"/>
      <c r="AQ34" s="1204"/>
      <c r="AR34" s="252"/>
    </row>
    <row r="35" spans="1:48" ht="14.1" customHeight="1">
      <c r="A35" s="307"/>
      <c r="B35" s="306"/>
      <c r="C35" s="306"/>
      <c r="D35" s="305"/>
      <c r="E35" s="1218"/>
      <c r="F35" s="1206"/>
      <c r="G35" s="1206"/>
      <c r="H35" s="1206"/>
      <c r="I35" s="1206"/>
      <c r="J35" s="1206"/>
      <c r="K35" s="1206"/>
      <c r="L35" s="1206"/>
      <c r="M35" s="1206"/>
      <c r="N35" s="1206"/>
      <c r="O35" s="1206"/>
      <c r="P35" s="1206"/>
      <c r="Q35" s="1219"/>
      <c r="R35" s="1243"/>
      <c r="S35" s="1243"/>
      <c r="T35" s="1243"/>
      <c r="U35" s="1243"/>
      <c r="V35" s="1243"/>
      <c r="W35" s="1243"/>
      <c r="X35" s="1244"/>
      <c r="Y35" s="1212"/>
      <c r="Z35" s="1211"/>
      <c r="AA35" s="1243"/>
      <c r="AB35" s="1211"/>
      <c r="AC35" s="1243"/>
      <c r="AD35" s="1211"/>
      <c r="AE35" s="1212"/>
      <c r="AF35" s="1211"/>
      <c r="AG35" s="1212"/>
      <c r="AH35" s="1211"/>
      <c r="AI35" s="1212"/>
      <c r="AJ35" s="1205"/>
      <c r="AK35" s="1206"/>
      <c r="AL35" s="1206"/>
      <c r="AM35" s="1206"/>
      <c r="AN35" s="1206"/>
      <c r="AO35" s="1206"/>
      <c r="AP35" s="1206"/>
      <c r="AQ35" s="1207"/>
      <c r="AR35" s="252"/>
    </row>
    <row r="36" spans="1:48" ht="14.1" customHeight="1">
      <c r="A36" s="1279"/>
      <c r="B36" s="1280"/>
      <c r="C36" s="1280"/>
      <c r="D36" s="1281"/>
      <c r="E36" s="1259"/>
      <c r="F36" s="1209"/>
      <c r="G36" s="1209"/>
      <c r="H36" s="1209"/>
      <c r="I36" s="1209"/>
      <c r="J36" s="1209"/>
      <c r="K36" s="1209"/>
      <c r="L36" s="1209"/>
      <c r="M36" s="1209"/>
      <c r="N36" s="1209"/>
      <c r="O36" s="1209"/>
      <c r="P36" s="1209"/>
      <c r="Q36" s="1286"/>
      <c r="R36" s="1243"/>
      <c r="S36" s="1243"/>
      <c r="T36" s="1243"/>
      <c r="U36" s="1243"/>
      <c r="V36" s="1243"/>
      <c r="W36" s="1243"/>
      <c r="X36" s="1244"/>
      <c r="Y36" s="1212"/>
      <c r="Z36" s="1211"/>
      <c r="AA36" s="1243"/>
      <c r="AB36" s="1211"/>
      <c r="AC36" s="1243"/>
      <c r="AD36" s="1211"/>
      <c r="AE36" s="1212"/>
      <c r="AF36" s="1211"/>
      <c r="AG36" s="1212"/>
      <c r="AH36" s="1211"/>
      <c r="AI36" s="1212"/>
      <c r="AJ36" s="1208"/>
      <c r="AK36" s="1209"/>
      <c r="AL36" s="1209"/>
      <c r="AM36" s="1209"/>
      <c r="AN36" s="1209"/>
      <c r="AO36" s="1209"/>
      <c r="AP36" s="1209"/>
      <c r="AQ36" s="1210"/>
      <c r="AR36" s="252"/>
    </row>
    <row r="37" spans="1:48" ht="14.1" customHeight="1">
      <c r="A37" s="1276"/>
      <c r="B37" s="1277"/>
      <c r="C37" s="1277"/>
      <c r="D37" s="1278"/>
      <c r="E37" s="1246"/>
      <c r="F37" s="1203"/>
      <c r="G37" s="1203"/>
      <c r="H37" s="1203"/>
      <c r="I37" s="1203"/>
      <c r="J37" s="1203"/>
      <c r="K37" s="1203"/>
      <c r="L37" s="1203"/>
      <c r="M37" s="1203"/>
      <c r="N37" s="1203"/>
      <c r="O37" s="1203"/>
      <c r="P37" s="1203"/>
      <c r="Q37" s="1307"/>
      <c r="R37" s="1243"/>
      <c r="S37" s="1243"/>
      <c r="T37" s="1243"/>
      <c r="U37" s="1243"/>
      <c r="V37" s="1243"/>
      <c r="W37" s="1243"/>
      <c r="X37" s="1244"/>
      <c r="Y37" s="1212"/>
      <c r="Z37" s="1211"/>
      <c r="AA37" s="1243"/>
      <c r="AB37" s="1211"/>
      <c r="AC37" s="1243"/>
      <c r="AD37" s="1211"/>
      <c r="AE37" s="1212"/>
      <c r="AF37" s="1211"/>
      <c r="AG37" s="1212"/>
      <c r="AH37" s="1211"/>
      <c r="AI37" s="1212"/>
      <c r="AJ37" s="1202"/>
      <c r="AK37" s="1203"/>
      <c r="AL37" s="1203"/>
      <c r="AM37" s="1203"/>
      <c r="AN37" s="1203"/>
      <c r="AO37" s="1203"/>
      <c r="AP37" s="1203"/>
      <c r="AQ37" s="1204"/>
      <c r="AR37" s="252"/>
    </row>
    <row r="38" spans="1:48" ht="14.1" customHeight="1">
      <c r="A38" s="307"/>
      <c r="B38" s="306"/>
      <c r="C38" s="306"/>
      <c r="D38" s="305"/>
      <c r="E38" s="1218"/>
      <c r="F38" s="1206"/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19"/>
      <c r="R38" s="1245"/>
      <c r="S38" s="1245"/>
      <c r="T38" s="1245"/>
      <c r="U38" s="1245"/>
      <c r="V38" s="1245"/>
      <c r="W38" s="1245"/>
      <c r="X38" s="1246"/>
      <c r="Y38" s="1247"/>
      <c r="Z38" s="1251"/>
      <c r="AA38" s="1245"/>
      <c r="AB38" s="1251"/>
      <c r="AC38" s="1245"/>
      <c r="AD38" s="1251"/>
      <c r="AE38" s="1247"/>
      <c r="AF38" s="1251"/>
      <c r="AG38" s="1247"/>
      <c r="AH38" s="1251"/>
      <c r="AI38" s="1247"/>
      <c r="AJ38" s="1205"/>
      <c r="AK38" s="1206"/>
      <c r="AL38" s="1206"/>
      <c r="AM38" s="1206"/>
      <c r="AN38" s="1206"/>
      <c r="AO38" s="1206"/>
      <c r="AP38" s="1206"/>
      <c r="AQ38" s="1207"/>
      <c r="AR38" s="252"/>
    </row>
    <row r="39" spans="1:48" s="253" customFormat="1" ht="14.1" customHeight="1" thickBot="1">
      <c r="A39" s="1308"/>
      <c r="B39" s="1309"/>
      <c r="C39" s="1309"/>
      <c r="D39" s="1310"/>
      <c r="E39" s="1241"/>
      <c r="F39" s="1239"/>
      <c r="G39" s="1239"/>
      <c r="H39" s="1239"/>
      <c r="I39" s="1239"/>
      <c r="J39" s="1239"/>
      <c r="K39" s="1239"/>
      <c r="L39" s="1239"/>
      <c r="M39" s="1239"/>
      <c r="N39" s="1239"/>
      <c r="O39" s="1239"/>
      <c r="P39" s="1239"/>
      <c r="Q39" s="1242"/>
      <c r="R39" s="1248"/>
      <c r="S39" s="1248"/>
      <c r="T39" s="1248"/>
      <c r="U39" s="1248"/>
      <c r="V39" s="1248"/>
      <c r="W39" s="1248"/>
      <c r="X39" s="1249"/>
      <c r="Y39" s="1250"/>
      <c r="Z39" s="1252"/>
      <c r="AA39" s="1248"/>
      <c r="AB39" s="1252"/>
      <c r="AC39" s="1248"/>
      <c r="AD39" s="1252"/>
      <c r="AE39" s="1250"/>
      <c r="AF39" s="1252"/>
      <c r="AG39" s="1250"/>
      <c r="AH39" s="1252"/>
      <c r="AI39" s="1250"/>
      <c r="AJ39" s="1238"/>
      <c r="AK39" s="1239"/>
      <c r="AL39" s="1239"/>
      <c r="AM39" s="1239"/>
      <c r="AN39" s="1239"/>
      <c r="AO39" s="1239"/>
      <c r="AP39" s="1239"/>
      <c r="AQ39" s="1240"/>
    </row>
    <row r="40" spans="1:48" s="254" customFormat="1" ht="19.899999999999999" customHeight="1">
      <c r="A40" s="304" t="s">
        <v>817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  <c r="AC40" s="261"/>
      <c r="AD40" s="261"/>
      <c r="AE40" s="261"/>
      <c r="AF40" s="261"/>
      <c r="AG40" s="261"/>
      <c r="AH40" s="261"/>
      <c r="AI40" s="261"/>
      <c r="AJ40" s="261"/>
      <c r="AK40" s="261"/>
      <c r="AL40" s="261"/>
      <c r="AM40" s="261"/>
      <c r="AN40" s="261"/>
      <c r="AO40" s="261"/>
      <c r="AP40" s="261"/>
      <c r="AQ40" s="303"/>
      <c r="AR40" s="261"/>
    </row>
    <row r="41" spans="1:48" s="254" customFormat="1" ht="19.899999999999999" customHeight="1">
      <c r="A41" s="304"/>
      <c r="B41" s="261"/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261"/>
      <c r="U41" s="261"/>
      <c r="V41" s="261"/>
      <c r="W41" s="261"/>
      <c r="X41" s="261"/>
      <c r="Y41" s="261"/>
      <c r="Z41" s="261"/>
      <c r="AA41" s="261"/>
      <c r="AB41" s="261"/>
      <c r="AC41" s="261"/>
      <c r="AD41" s="261"/>
      <c r="AE41" s="261"/>
      <c r="AF41" s="261"/>
      <c r="AG41" s="261"/>
      <c r="AH41" s="261"/>
      <c r="AI41" s="261"/>
      <c r="AJ41" s="261"/>
      <c r="AK41" s="261"/>
      <c r="AL41" s="261"/>
      <c r="AM41" s="261"/>
      <c r="AN41" s="261"/>
      <c r="AO41" s="261"/>
      <c r="AP41" s="261"/>
      <c r="AQ41" s="303"/>
      <c r="AR41" s="261"/>
    </row>
    <row r="42" spans="1:48" s="254" customFormat="1" ht="19.899999999999999" customHeight="1">
      <c r="A42" s="304"/>
      <c r="B42" s="261"/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1"/>
      <c r="Z42" s="261"/>
      <c r="AA42" s="261"/>
      <c r="AB42" s="261"/>
      <c r="AC42" s="261"/>
      <c r="AD42" s="261"/>
      <c r="AE42" s="261"/>
      <c r="AF42" s="261"/>
      <c r="AG42" s="261"/>
      <c r="AH42" s="261"/>
      <c r="AI42" s="261"/>
      <c r="AJ42" s="261"/>
      <c r="AK42" s="261"/>
      <c r="AL42" s="261"/>
      <c r="AM42" s="261"/>
      <c r="AN42" s="261"/>
      <c r="AO42" s="261"/>
      <c r="AP42" s="261"/>
      <c r="AQ42" s="303"/>
      <c r="AR42" s="261"/>
    </row>
    <row r="43" spans="1:48" ht="19.899999999999999" customHeight="1" thickBot="1">
      <c r="A43" s="293"/>
      <c r="B43" s="253"/>
      <c r="C43" s="253"/>
      <c r="D43" s="253"/>
      <c r="E43" s="253"/>
      <c r="F43" s="253"/>
      <c r="G43" s="253"/>
      <c r="H43" s="253"/>
      <c r="I43" s="253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C43" s="253"/>
      <c r="AD43" s="253"/>
      <c r="AE43" s="253"/>
      <c r="AF43" s="253"/>
      <c r="AG43" s="253"/>
      <c r="AH43" s="253"/>
      <c r="AI43" s="253"/>
      <c r="AJ43" s="253"/>
      <c r="AK43" s="253"/>
      <c r="AL43" s="253"/>
      <c r="AM43" s="253"/>
      <c r="AN43" s="253"/>
      <c r="AO43" s="253"/>
      <c r="AP43" s="253"/>
      <c r="AQ43" s="290"/>
    </row>
    <row r="44" spans="1:48" s="253" customFormat="1" ht="12.95" customHeight="1">
      <c r="A44" s="302"/>
      <c r="B44" s="299"/>
      <c r="C44" s="299"/>
      <c r="D44" s="299"/>
      <c r="E44" s="299"/>
      <c r="F44" s="299"/>
      <c r="G44" s="299"/>
      <c r="H44" s="299"/>
      <c r="I44" s="299"/>
      <c r="J44" s="299"/>
      <c r="K44" s="299"/>
      <c r="L44" s="299"/>
      <c r="M44" s="299"/>
      <c r="N44" s="300"/>
      <c r="O44" s="299"/>
      <c r="P44" s="299"/>
      <c r="Q44" s="301"/>
      <c r="R44" s="300"/>
      <c r="S44" s="299"/>
      <c r="T44" s="299"/>
      <c r="U44" s="298"/>
      <c r="V44" s="295"/>
      <c r="W44" s="295"/>
      <c r="X44" s="295"/>
      <c r="Y44" s="295"/>
      <c r="Z44" s="295"/>
      <c r="AA44" s="295"/>
      <c r="AB44" s="295"/>
      <c r="AC44" s="295"/>
      <c r="AD44" s="295"/>
      <c r="AE44" s="295"/>
      <c r="AF44" s="295"/>
      <c r="AG44" s="295"/>
      <c r="AH44" s="295"/>
      <c r="AI44" s="296"/>
      <c r="AJ44" s="297"/>
      <c r="AK44" s="295"/>
      <c r="AL44" s="295"/>
      <c r="AM44" s="296"/>
      <c r="AN44" s="295"/>
      <c r="AO44" s="295"/>
      <c r="AP44" s="295"/>
      <c r="AQ44" s="294"/>
      <c r="AS44" s="252"/>
      <c r="AT44" s="252"/>
      <c r="AU44" s="252"/>
      <c r="AV44" s="252"/>
    </row>
    <row r="45" spans="1:48" s="253" customFormat="1" ht="12.95" customHeight="1">
      <c r="A45" s="293"/>
      <c r="N45" s="291"/>
      <c r="Q45" s="292"/>
      <c r="R45" s="291"/>
      <c r="U45" s="290"/>
      <c r="V45" s="287"/>
      <c r="W45" s="287"/>
      <c r="X45" s="287"/>
      <c r="Y45" s="287"/>
      <c r="Z45" s="287"/>
      <c r="AA45" s="287"/>
      <c r="AB45" s="287"/>
      <c r="AC45" s="287"/>
      <c r="AD45" s="287"/>
      <c r="AE45" s="287"/>
      <c r="AF45" s="287"/>
      <c r="AG45" s="287"/>
      <c r="AH45" s="287"/>
      <c r="AI45" s="288"/>
      <c r="AJ45" s="289"/>
      <c r="AK45" s="287"/>
      <c r="AL45" s="287"/>
      <c r="AM45" s="288"/>
      <c r="AN45" s="287"/>
      <c r="AO45" s="287"/>
      <c r="AP45" s="287"/>
      <c r="AQ45" s="286"/>
      <c r="AS45" s="252"/>
      <c r="AT45" s="252"/>
      <c r="AU45" s="252"/>
      <c r="AV45" s="252"/>
    </row>
    <row r="46" spans="1:48" s="253" customFormat="1" ht="12.95" customHeight="1">
      <c r="A46" s="293"/>
      <c r="N46" s="291"/>
      <c r="Q46" s="292"/>
      <c r="R46" s="291"/>
      <c r="U46" s="290"/>
      <c r="V46" s="287"/>
      <c r="W46" s="287"/>
      <c r="X46" s="287"/>
      <c r="Y46" s="287"/>
      <c r="Z46" s="287"/>
      <c r="AA46" s="287"/>
      <c r="AB46" s="287"/>
      <c r="AC46" s="287"/>
      <c r="AD46" s="287"/>
      <c r="AE46" s="287"/>
      <c r="AF46" s="287"/>
      <c r="AG46" s="287"/>
      <c r="AH46" s="287"/>
      <c r="AI46" s="288"/>
      <c r="AJ46" s="289"/>
      <c r="AK46" s="287"/>
      <c r="AL46" s="287"/>
      <c r="AM46" s="288"/>
      <c r="AN46" s="287"/>
      <c r="AO46" s="287"/>
      <c r="AP46" s="287"/>
      <c r="AQ46" s="286"/>
      <c r="AS46" s="252"/>
      <c r="AT46" s="252"/>
      <c r="AU46" s="252"/>
      <c r="AV46" s="252"/>
    </row>
    <row r="47" spans="1:48" s="253" customFormat="1" ht="12.95" customHeight="1">
      <c r="A47" s="293"/>
      <c r="N47" s="291"/>
      <c r="Q47" s="292"/>
      <c r="R47" s="291"/>
      <c r="U47" s="290"/>
      <c r="V47" s="287"/>
      <c r="W47" s="287"/>
      <c r="X47" s="287"/>
      <c r="Y47" s="287"/>
      <c r="Z47" s="287"/>
      <c r="AA47" s="287"/>
      <c r="AB47" s="287"/>
      <c r="AC47" s="287"/>
      <c r="AD47" s="287"/>
      <c r="AE47" s="287"/>
      <c r="AF47" s="287"/>
      <c r="AG47" s="287"/>
      <c r="AH47" s="287"/>
      <c r="AI47" s="288"/>
      <c r="AJ47" s="289"/>
      <c r="AK47" s="287"/>
      <c r="AL47" s="287"/>
      <c r="AM47" s="288"/>
      <c r="AN47" s="287"/>
      <c r="AO47" s="287"/>
      <c r="AP47" s="287"/>
      <c r="AQ47" s="286"/>
      <c r="AS47" s="252"/>
      <c r="AT47" s="252"/>
      <c r="AU47" s="252"/>
      <c r="AV47" s="252"/>
    </row>
    <row r="48" spans="1:48" s="276" customFormat="1" ht="15" customHeight="1" thickBot="1">
      <c r="A48" s="285" t="s">
        <v>816</v>
      </c>
      <c r="B48" s="282"/>
      <c r="C48" s="282"/>
      <c r="D48" s="282"/>
      <c r="E48" s="282"/>
      <c r="F48" s="282"/>
      <c r="G48" s="282"/>
      <c r="H48" s="282"/>
      <c r="I48" s="282"/>
      <c r="J48" s="282"/>
      <c r="K48" s="282"/>
      <c r="L48" s="282"/>
      <c r="M48" s="282"/>
      <c r="N48" s="284" t="s">
        <v>11</v>
      </c>
      <c r="O48" s="282"/>
      <c r="P48" s="282"/>
      <c r="Q48" s="283"/>
      <c r="R48" s="284" t="s">
        <v>12</v>
      </c>
      <c r="S48" s="282"/>
      <c r="T48" s="282"/>
      <c r="U48" s="281"/>
      <c r="V48" s="282" t="s">
        <v>815</v>
      </c>
      <c r="W48" s="282"/>
      <c r="X48" s="282"/>
      <c r="Y48" s="282"/>
      <c r="Z48" s="282"/>
      <c r="AA48" s="282"/>
      <c r="AB48" s="282"/>
      <c r="AC48" s="282"/>
      <c r="AD48" s="282"/>
      <c r="AE48" s="282"/>
      <c r="AF48" s="282"/>
      <c r="AG48" s="282"/>
      <c r="AH48" s="282"/>
      <c r="AI48" s="283"/>
      <c r="AJ48" s="284" t="s">
        <v>11</v>
      </c>
      <c r="AK48" s="282"/>
      <c r="AL48" s="282"/>
      <c r="AM48" s="283"/>
      <c r="AN48" s="282" t="s">
        <v>12</v>
      </c>
      <c r="AO48" s="282"/>
      <c r="AP48" s="282"/>
      <c r="AQ48" s="281"/>
    </row>
    <row r="49" spans="1:44" s="276" customFormat="1" ht="12.75">
      <c r="A49" s="280"/>
      <c r="B49" s="279"/>
      <c r="C49" s="279"/>
      <c r="D49" s="279"/>
      <c r="E49" s="279"/>
      <c r="F49" s="279"/>
      <c r="G49" s="279"/>
      <c r="H49" s="279"/>
      <c r="I49" s="279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  <c r="Z49" s="279"/>
      <c r="AA49" s="279"/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  <c r="AP49" s="279"/>
      <c r="AQ49" s="278"/>
      <c r="AR49" s="277"/>
    </row>
    <row r="50" spans="1:44" s="254" customFormat="1" ht="25.15" customHeight="1">
      <c r="A50" s="275" t="s">
        <v>814</v>
      </c>
      <c r="B50" s="273"/>
      <c r="C50" s="273"/>
      <c r="D50" s="273"/>
      <c r="E50" s="273"/>
      <c r="F50" s="273"/>
      <c r="G50" s="273"/>
      <c r="H50" s="274" t="s">
        <v>785</v>
      </c>
      <c r="I50" s="273" t="s">
        <v>813</v>
      </c>
      <c r="J50" s="273"/>
      <c r="K50" s="273"/>
      <c r="L50" s="273"/>
      <c r="M50" s="274" t="s">
        <v>785</v>
      </c>
      <c r="N50" s="273" t="s">
        <v>812</v>
      </c>
      <c r="O50" s="273"/>
      <c r="P50" s="273"/>
      <c r="Q50" s="274" t="s">
        <v>785</v>
      </c>
      <c r="R50" s="273" t="s">
        <v>811</v>
      </c>
      <c r="S50" s="273"/>
      <c r="T50" s="273"/>
      <c r="U50" s="273"/>
      <c r="V50" s="273"/>
      <c r="W50" s="274" t="s">
        <v>785</v>
      </c>
      <c r="X50" s="273" t="s">
        <v>810</v>
      </c>
      <c r="Y50" s="273"/>
      <c r="Z50" s="273"/>
      <c r="AA50" s="273"/>
      <c r="AB50" s="273"/>
      <c r="AC50" s="273"/>
      <c r="AD50" s="273"/>
      <c r="AE50" s="273"/>
      <c r="AF50" s="273"/>
      <c r="AG50" s="273" t="s">
        <v>809</v>
      </c>
      <c r="AH50" s="273"/>
      <c r="AI50" s="273"/>
      <c r="AJ50" s="273"/>
      <c r="AK50" s="273"/>
      <c r="AL50" s="273"/>
      <c r="AM50" s="273"/>
      <c r="AN50" s="273"/>
      <c r="AO50" s="273"/>
      <c r="AP50" s="273"/>
      <c r="AQ50" s="272"/>
      <c r="AR50" s="255"/>
    </row>
    <row r="51" spans="1:44" s="254" customFormat="1" ht="15" customHeight="1">
      <c r="A51" s="266" t="s">
        <v>808</v>
      </c>
      <c r="B51" s="255"/>
      <c r="C51" s="255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5"/>
      <c r="O51" s="255"/>
      <c r="P51" s="255"/>
      <c r="Q51" s="255"/>
      <c r="R51" s="270" t="s">
        <v>807</v>
      </c>
      <c r="S51" s="270" t="s">
        <v>806</v>
      </c>
      <c r="T51" s="270"/>
      <c r="U51" s="270" t="s">
        <v>805</v>
      </c>
      <c r="V51" s="255"/>
      <c r="W51" s="255"/>
      <c r="X51" s="255"/>
      <c r="Y51" s="255"/>
      <c r="Z51" s="255"/>
      <c r="AA51" s="271" t="s">
        <v>804</v>
      </c>
      <c r="AB51" s="271"/>
      <c r="AC51" s="271"/>
      <c r="AD51" s="271"/>
      <c r="AE51" s="271"/>
      <c r="AF51" s="271"/>
      <c r="AG51" s="271"/>
      <c r="AH51" s="255"/>
      <c r="AI51" s="255"/>
      <c r="AJ51" s="255"/>
      <c r="AK51" s="255"/>
      <c r="AL51" s="265" t="s">
        <v>785</v>
      </c>
      <c r="AM51" s="255" t="s">
        <v>803</v>
      </c>
      <c r="AN51" s="255"/>
      <c r="AO51" s="270"/>
      <c r="AP51" s="270"/>
      <c r="AQ51" s="269"/>
      <c r="AR51" s="255"/>
    </row>
    <row r="52" spans="1:44" s="261" customFormat="1" ht="15" customHeight="1">
      <c r="A52" s="266" t="s">
        <v>802</v>
      </c>
      <c r="B52" s="255"/>
      <c r="C52" s="255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  <c r="O52" s="255"/>
      <c r="P52" s="255"/>
      <c r="Q52" s="255"/>
      <c r="R52" s="265" t="s">
        <v>785</v>
      </c>
      <c r="S52" s="265" t="s">
        <v>785</v>
      </c>
      <c r="T52" s="265"/>
      <c r="U52" s="265" t="s">
        <v>785</v>
      </c>
      <c r="V52" s="255"/>
      <c r="W52" s="255"/>
      <c r="X52" s="255"/>
      <c r="Y52" s="255"/>
      <c r="Z52" s="255"/>
      <c r="AA52" s="255"/>
      <c r="AB52" s="255"/>
      <c r="AC52" s="255"/>
      <c r="AD52" s="255"/>
      <c r="AE52" s="255"/>
      <c r="AF52" s="255"/>
      <c r="AG52" s="255"/>
      <c r="AH52" s="265" t="s">
        <v>785</v>
      </c>
      <c r="AI52" s="255" t="s">
        <v>801</v>
      </c>
      <c r="AJ52" s="255"/>
      <c r="AK52" s="255"/>
      <c r="AL52" s="265" t="s">
        <v>785</v>
      </c>
      <c r="AM52" s="255" t="s">
        <v>800</v>
      </c>
      <c r="AN52" s="255"/>
      <c r="AO52" s="265"/>
      <c r="AP52" s="265"/>
      <c r="AQ52" s="267"/>
      <c r="AR52" s="255"/>
    </row>
    <row r="53" spans="1:44" s="261" customFormat="1" ht="15" customHeight="1">
      <c r="A53" s="266" t="s">
        <v>799</v>
      </c>
      <c r="B53" s="255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65" t="s">
        <v>785</v>
      </c>
      <c r="S53" s="265" t="s">
        <v>785</v>
      </c>
      <c r="T53" s="265"/>
      <c r="U53" s="265" t="s">
        <v>785</v>
      </c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65" t="s">
        <v>785</v>
      </c>
      <c r="AI53" s="255" t="s">
        <v>798</v>
      </c>
      <c r="AJ53" s="255"/>
      <c r="AK53" s="255"/>
      <c r="AL53" s="265" t="s">
        <v>785</v>
      </c>
      <c r="AM53" s="255" t="s">
        <v>797</v>
      </c>
      <c r="AN53" s="255"/>
      <c r="AO53" s="255"/>
      <c r="AP53" s="265"/>
      <c r="AQ53" s="267"/>
      <c r="AR53" s="255"/>
    </row>
    <row r="54" spans="1:44" s="254" customFormat="1">
      <c r="A54" s="266" t="s">
        <v>796</v>
      </c>
      <c r="B54" s="255"/>
      <c r="C54" s="255"/>
      <c r="D54" s="255"/>
      <c r="E54" s="255"/>
      <c r="F54" s="255"/>
      <c r="G54" s="255"/>
      <c r="H54" s="255"/>
      <c r="I54" s="255"/>
      <c r="J54" s="255"/>
      <c r="K54" s="255"/>
      <c r="L54" s="255"/>
      <c r="M54" s="255"/>
      <c r="N54" s="255"/>
      <c r="O54" s="255"/>
      <c r="P54" s="255"/>
      <c r="Q54" s="255"/>
      <c r="R54" s="265" t="s">
        <v>785</v>
      </c>
      <c r="S54" s="265" t="s">
        <v>785</v>
      </c>
      <c r="T54" s="265"/>
      <c r="U54" s="265" t="s">
        <v>785</v>
      </c>
      <c r="V54" s="255"/>
      <c r="W54" s="255"/>
      <c r="X54" s="255"/>
      <c r="Y54" s="255"/>
      <c r="Z54" s="255"/>
      <c r="AA54" s="255"/>
      <c r="AB54" s="255"/>
      <c r="AC54" s="255"/>
      <c r="AD54" s="255"/>
      <c r="AE54" s="255"/>
      <c r="AF54" s="255"/>
      <c r="AG54" s="255"/>
      <c r="AH54" s="265" t="s">
        <v>785</v>
      </c>
      <c r="AI54" s="255" t="s">
        <v>795</v>
      </c>
      <c r="AJ54" s="255"/>
      <c r="AK54" s="255"/>
      <c r="AL54" s="265" t="s">
        <v>785</v>
      </c>
      <c r="AM54" s="255" t="s">
        <v>794</v>
      </c>
      <c r="AN54" s="255"/>
      <c r="AO54" s="265"/>
      <c r="AP54" s="265"/>
      <c r="AQ54" s="267"/>
      <c r="AR54" s="255"/>
    </row>
    <row r="55" spans="1:44" s="254" customFormat="1">
      <c r="A55" s="266" t="s">
        <v>793</v>
      </c>
      <c r="B55" s="255"/>
      <c r="C55" s="255"/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55"/>
      <c r="X55" s="255"/>
      <c r="Y55" s="255"/>
      <c r="Z55" s="255"/>
      <c r="AA55" s="255"/>
      <c r="AB55" s="255"/>
      <c r="AC55" s="255"/>
      <c r="AD55" s="255"/>
      <c r="AE55" s="255"/>
      <c r="AF55" s="255"/>
      <c r="AG55" s="255"/>
      <c r="AH55" s="265" t="s">
        <v>785</v>
      </c>
      <c r="AI55" s="255" t="s">
        <v>792</v>
      </c>
      <c r="AJ55" s="255"/>
      <c r="AK55" s="255"/>
      <c r="AL55" s="265" t="s">
        <v>785</v>
      </c>
      <c r="AM55" s="255" t="s">
        <v>791</v>
      </c>
      <c r="AN55" s="255"/>
      <c r="AO55" s="265"/>
      <c r="AP55" s="265"/>
      <c r="AQ55" s="267"/>
      <c r="AR55" s="255"/>
    </row>
    <row r="56" spans="1:44" s="254" customFormat="1" ht="15" customHeight="1">
      <c r="A56" s="266" t="s">
        <v>790</v>
      </c>
      <c r="B56" s="255"/>
      <c r="C56" s="255"/>
      <c r="D56" s="255"/>
      <c r="E56" s="255"/>
      <c r="F56" s="255"/>
      <c r="G56" s="255"/>
      <c r="H56" s="255"/>
      <c r="I56" s="255"/>
      <c r="J56" s="255"/>
      <c r="K56" s="255"/>
      <c r="L56" s="255"/>
      <c r="M56" s="255"/>
      <c r="N56" s="255"/>
      <c r="O56" s="255"/>
      <c r="P56" s="255"/>
      <c r="Q56" s="255"/>
      <c r="R56" s="265" t="s">
        <v>785</v>
      </c>
      <c r="S56" s="265" t="s">
        <v>785</v>
      </c>
      <c r="T56" s="265"/>
      <c r="U56" s="265" t="s">
        <v>785</v>
      </c>
      <c r="V56" s="255"/>
      <c r="W56" s="255"/>
      <c r="X56" s="255"/>
      <c r="Y56" s="255"/>
      <c r="Z56" s="255"/>
      <c r="AA56" s="255"/>
      <c r="AB56" s="255"/>
      <c r="AC56" s="255"/>
      <c r="AD56" s="255"/>
      <c r="AE56" s="255"/>
      <c r="AF56" s="255"/>
      <c r="AG56" s="255"/>
      <c r="AH56" s="265" t="s">
        <v>785</v>
      </c>
      <c r="AI56" s="255" t="s">
        <v>789</v>
      </c>
      <c r="AJ56" s="255"/>
      <c r="AK56" s="268"/>
      <c r="AL56" s="265" t="s">
        <v>785</v>
      </c>
      <c r="AM56" s="255" t="s">
        <v>788</v>
      </c>
      <c r="AN56" s="255"/>
      <c r="AO56" s="255"/>
      <c r="AP56" s="255"/>
      <c r="AQ56" s="267"/>
      <c r="AR56" s="255"/>
    </row>
    <row r="57" spans="1:44" s="254" customFormat="1">
      <c r="A57" s="266" t="s">
        <v>787</v>
      </c>
      <c r="B57" s="255"/>
      <c r="C57" s="255"/>
      <c r="D57" s="255"/>
      <c r="E57" s="255"/>
      <c r="F57" s="255"/>
      <c r="G57" s="255"/>
      <c r="H57" s="255"/>
      <c r="I57" s="255"/>
      <c r="J57" s="255"/>
      <c r="K57" s="255"/>
      <c r="L57" s="255"/>
      <c r="M57" s="255"/>
      <c r="N57" s="255"/>
      <c r="O57" s="255"/>
      <c r="P57" s="255"/>
      <c r="Q57" s="255"/>
      <c r="R57" s="265" t="s">
        <v>785</v>
      </c>
      <c r="S57" s="265" t="s">
        <v>785</v>
      </c>
      <c r="T57" s="265"/>
      <c r="U57" s="265" t="s">
        <v>785</v>
      </c>
      <c r="V57" s="255"/>
      <c r="W57" s="255"/>
      <c r="X57" s="255"/>
      <c r="Y57" s="255"/>
      <c r="Z57" s="255"/>
      <c r="AA57" s="255"/>
      <c r="AB57" s="255"/>
      <c r="AC57" s="255"/>
      <c r="AD57" s="255"/>
      <c r="AE57" s="255"/>
      <c r="AF57" s="255"/>
      <c r="AG57" s="255"/>
      <c r="AH57" s="255"/>
      <c r="AI57" s="255"/>
      <c r="AJ57" s="255"/>
      <c r="AK57" s="255"/>
      <c r="AL57" s="255"/>
      <c r="AM57" s="263"/>
      <c r="AN57" s="263"/>
      <c r="AO57" s="264"/>
      <c r="AP57" s="263"/>
      <c r="AQ57" s="262"/>
      <c r="AR57" s="255"/>
    </row>
    <row r="58" spans="1:44" s="261" customFormat="1" ht="15" customHeight="1">
      <c r="A58" s="266" t="s">
        <v>786</v>
      </c>
      <c r="B58" s="255"/>
      <c r="C58" s="255"/>
      <c r="D58" s="255"/>
      <c r="E58" s="255"/>
      <c r="F58" s="255"/>
      <c r="G58" s="255"/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65" t="s">
        <v>785</v>
      </c>
      <c r="S58" s="265" t="s">
        <v>785</v>
      </c>
      <c r="T58" s="265"/>
      <c r="U58" s="265" t="s">
        <v>785</v>
      </c>
      <c r="V58" s="255"/>
      <c r="W58" s="265"/>
      <c r="X58" s="265"/>
      <c r="Y58" s="255"/>
      <c r="Z58" s="255"/>
      <c r="AA58" s="255"/>
      <c r="AB58" s="255"/>
      <c r="AC58" s="255"/>
      <c r="AD58" s="255"/>
      <c r="AE58" s="255" t="s">
        <v>784</v>
      </c>
      <c r="AF58" s="255"/>
      <c r="AG58" s="263"/>
      <c r="AH58" s="263"/>
      <c r="AI58" s="263"/>
      <c r="AJ58" s="263"/>
      <c r="AK58" s="263"/>
      <c r="AL58" s="263"/>
      <c r="AM58" s="263"/>
      <c r="AN58" s="263"/>
      <c r="AO58" s="264"/>
      <c r="AP58" s="263"/>
      <c r="AQ58" s="262"/>
      <c r="AR58" s="255"/>
    </row>
    <row r="59" spans="1:44" s="254" customFormat="1" ht="3" customHeight="1" thickBot="1">
      <c r="A59" s="260"/>
      <c r="B59" s="257"/>
      <c r="C59" s="257"/>
      <c r="D59" s="257"/>
      <c r="E59" s="257"/>
      <c r="F59" s="257"/>
      <c r="G59" s="259"/>
      <c r="H59" s="257"/>
      <c r="I59" s="257"/>
      <c r="J59" s="257"/>
      <c r="K59" s="257"/>
      <c r="L59" s="259"/>
      <c r="M59" s="257"/>
      <c r="N59" s="257"/>
      <c r="O59" s="257"/>
      <c r="P59" s="257"/>
      <c r="Q59" s="257"/>
      <c r="R59" s="259"/>
      <c r="S59" s="257"/>
      <c r="T59" s="257"/>
      <c r="U59" s="258"/>
      <c r="V59" s="257"/>
      <c r="W59" s="259"/>
      <c r="X59" s="259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8"/>
      <c r="AP59" s="257"/>
      <c r="AQ59" s="256"/>
      <c r="AR59" s="255"/>
    </row>
  </sheetData>
  <mergeCells count="85">
    <mergeCell ref="AB37:AC39"/>
    <mergeCell ref="A15:Y18"/>
    <mergeCell ref="A19:M22"/>
    <mergeCell ref="Z37:AA39"/>
    <mergeCell ref="A28:D28"/>
    <mergeCell ref="E28:Q30"/>
    <mergeCell ref="Z31:AA33"/>
    <mergeCell ref="A39:D39"/>
    <mergeCell ref="E34:Q36"/>
    <mergeCell ref="E37:Q39"/>
    <mergeCell ref="R34:U36"/>
    <mergeCell ref="V34:Y36"/>
    <mergeCell ref="E31:Q33"/>
    <mergeCell ref="R31:U33"/>
    <mergeCell ref="AB9:AB24"/>
    <mergeCell ref="AC9:AC24"/>
    <mergeCell ref="V24:Y24"/>
    <mergeCell ref="Z9:Z24"/>
    <mergeCell ref="AA9:AA24"/>
    <mergeCell ref="Z25:AA27"/>
    <mergeCell ref="N19:Y20"/>
    <mergeCell ref="V31:Y33"/>
    <mergeCell ref="AB28:AC30"/>
    <mergeCell ref="AB31:AC33"/>
    <mergeCell ref="Z28:AA30"/>
    <mergeCell ref="A25:D25"/>
    <mergeCell ref="A27:D27"/>
    <mergeCell ref="A33:D33"/>
    <mergeCell ref="AB25:AC27"/>
    <mergeCell ref="R28:U30"/>
    <mergeCell ref="V28:Y30"/>
    <mergeCell ref="E25:Q27"/>
    <mergeCell ref="A37:D37"/>
    <mergeCell ref="A34:D34"/>
    <mergeCell ref="A36:D36"/>
    <mergeCell ref="A30:D30"/>
    <mergeCell ref="A31:D31"/>
    <mergeCell ref="AJ1:AP1"/>
    <mergeCell ref="V25:Y27"/>
    <mergeCell ref="R25:U27"/>
    <mergeCell ref="AI9:AI24"/>
    <mergeCell ref="AH28:AI30"/>
    <mergeCell ref="AH25:AI27"/>
    <mergeCell ref="AH8:AQ8"/>
    <mergeCell ref="AH9:AH24"/>
    <mergeCell ref="AD9:AD24"/>
    <mergeCell ref="AE9:AE24"/>
    <mergeCell ref="AD25:AE27"/>
    <mergeCell ref="AF9:AF24"/>
    <mergeCell ref="AG9:AG24"/>
    <mergeCell ref="AD28:AE30"/>
    <mergeCell ref="AJ25:AQ27"/>
    <mergeCell ref="AJ28:AQ30"/>
    <mergeCell ref="AJ37:AQ39"/>
    <mergeCell ref="R24:U24"/>
    <mergeCell ref="V37:Y39"/>
    <mergeCell ref="R37:U39"/>
    <mergeCell ref="AH34:AI36"/>
    <mergeCell ref="AH37:AI39"/>
    <mergeCell ref="Z34:AA36"/>
    <mergeCell ref="AF25:AG27"/>
    <mergeCell ref="AF28:AG30"/>
    <mergeCell ref="AF37:AG39"/>
    <mergeCell ref="AD34:AE36"/>
    <mergeCell ref="AD37:AE39"/>
    <mergeCell ref="AF34:AG36"/>
    <mergeCell ref="AF31:AG33"/>
    <mergeCell ref="AB34:AC36"/>
    <mergeCell ref="AD31:AE33"/>
    <mergeCell ref="AJ31:AQ33"/>
    <mergeCell ref="AJ34:AQ36"/>
    <mergeCell ref="AH31:AI33"/>
    <mergeCell ref="N21:Y22"/>
    <mergeCell ref="A13:Y13"/>
    <mergeCell ref="R23:U23"/>
    <mergeCell ref="V23:Y23"/>
    <mergeCell ref="AJ9:AQ24"/>
    <mergeCell ref="D9:M9"/>
    <mergeCell ref="Q9:Y9"/>
    <mergeCell ref="D10:M10"/>
    <mergeCell ref="P10:Y10"/>
    <mergeCell ref="N11:Y11"/>
    <mergeCell ref="F12:Y12"/>
    <mergeCell ref="E14:M14"/>
    <mergeCell ref="Q14:Y14"/>
  </mergeCells>
  <printOptions horizontalCentered="1" verticalCentered="1"/>
  <pageMargins left="0.25" right="0.25" top="0.5" bottom="0.5" header="0.5" footer="0.25"/>
  <pageSetup scale="73" orientation="portrait" r:id="rId1"/>
  <headerFooter alignWithMargins="0">
    <oddFooter>&amp;RF083_Blank_COC_DWShort_20201014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J38"/>
  <sheetViews>
    <sheetView view="pageLayout" topLeftCell="A16" zoomScaleNormal="70" workbookViewId="0">
      <selection activeCell="O26" sqref="O26"/>
    </sheetView>
  </sheetViews>
  <sheetFormatPr defaultColWidth="8.85546875" defaultRowHeight="14.25"/>
  <cols>
    <col min="1" max="1" width="19.140625" style="419" customWidth="1"/>
    <col min="2" max="2" width="8.85546875" style="419"/>
    <col min="3" max="5" width="8.85546875" style="419" customWidth="1"/>
    <col min="6" max="6" width="8.28515625" style="419" customWidth="1"/>
    <col min="7" max="7" width="9.28515625" style="419" customWidth="1"/>
    <col min="8" max="8" width="4.85546875" style="419" customWidth="1"/>
    <col min="9" max="9" width="12.85546875" style="419" customWidth="1"/>
    <col min="10" max="16384" width="8.85546875" style="419"/>
  </cols>
  <sheetData>
    <row r="1" spans="1:10" ht="18.600000000000001" customHeight="1">
      <c r="A1" s="448" t="s">
        <v>904</v>
      </c>
      <c r="B1" s="1355"/>
      <c r="C1" s="1356"/>
      <c r="D1" s="1356"/>
      <c r="E1" s="1356"/>
      <c r="F1" s="1357"/>
      <c r="G1" s="1372" t="s">
        <v>903</v>
      </c>
      <c r="H1" s="1372"/>
      <c r="I1" s="1373"/>
      <c r="J1" s="432"/>
    </row>
    <row r="2" spans="1:10" ht="18" customHeight="1">
      <c r="A2" s="443" t="s">
        <v>828</v>
      </c>
      <c r="B2" s="1352"/>
      <c r="C2" s="1353"/>
      <c r="D2" s="1353"/>
      <c r="E2" s="1353"/>
      <c r="F2" s="1354"/>
      <c r="G2" s="1374"/>
      <c r="H2" s="1374"/>
      <c r="I2" s="1375"/>
      <c r="J2" s="432"/>
    </row>
    <row r="3" spans="1:10" ht="14.25" customHeight="1" thickBot="1">
      <c r="A3" s="443" t="s">
        <v>711</v>
      </c>
      <c r="B3" s="1352"/>
      <c r="C3" s="1353"/>
      <c r="D3" s="1353"/>
      <c r="E3" s="1353"/>
      <c r="F3" s="1354"/>
      <c r="G3" s="1376"/>
      <c r="H3" s="1374"/>
      <c r="I3" s="1375"/>
      <c r="J3" s="432"/>
    </row>
    <row r="4" spans="1:10" ht="14.25" customHeight="1" thickBot="1">
      <c r="A4" s="443" t="s">
        <v>902</v>
      </c>
      <c r="B4" s="1379"/>
      <c r="C4" s="1379"/>
      <c r="D4" s="1379"/>
      <c r="E4" s="1333"/>
      <c r="F4" s="1333"/>
      <c r="G4" s="447" t="s">
        <v>901</v>
      </c>
      <c r="H4" s="1314"/>
      <c r="I4" s="1315"/>
      <c r="J4" s="432"/>
    </row>
    <row r="5" spans="1:10" ht="14.25" customHeight="1" thickBot="1">
      <c r="A5" s="446" t="s">
        <v>900</v>
      </c>
      <c r="B5" s="1321"/>
      <c r="C5" s="1322"/>
      <c r="D5" s="445" t="s">
        <v>827</v>
      </c>
      <c r="E5" s="1330"/>
      <c r="F5" s="1331"/>
      <c r="G5" s="444" t="s">
        <v>899</v>
      </c>
      <c r="H5" s="1314"/>
      <c r="I5" s="1315"/>
      <c r="J5" s="432"/>
    </row>
    <row r="6" spans="1:10" ht="14.25" customHeight="1" thickBot="1">
      <c r="A6" s="443" t="s">
        <v>674</v>
      </c>
      <c r="B6" s="1332"/>
      <c r="C6" s="1332"/>
      <c r="D6" s="1332"/>
      <c r="E6" s="1333"/>
      <c r="F6" s="1333"/>
      <c r="G6" s="444" t="s">
        <v>898</v>
      </c>
      <c r="H6" s="1314"/>
      <c r="I6" s="1315"/>
      <c r="J6" s="432"/>
    </row>
    <row r="7" spans="1:10" ht="15" customHeight="1" thickBot="1">
      <c r="A7" s="443" t="s">
        <v>897</v>
      </c>
      <c r="B7" s="1321"/>
      <c r="C7" s="1322"/>
      <c r="D7" s="1322"/>
      <c r="E7" s="1322"/>
      <c r="F7" s="1323"/>
      <c r="G7" s="1385" t="s">
        <v>896</v>
      </c>
      <c r="H7" s="1386"/>
      <c r="I7" s="442"/>
    </row>
    <row r="8" spans="1:10" ht="18" customHeight="1">
      <c r="A8" s="1387" t="s">
        <v>895</v>
      </c>
      <c r="B8" s="1389"/>
      <c r="C8" s="1390"/>
      <c r="D8" s="1390"/>
      <c r="E8" s="1390"/>
      <c r="F8" s="1391"/>
      <c r="G8" s="1326" t="s">
        <v>894</v>
      </c>
      <c r="H8" s="1326"/>
      <c r="I8" s="1327"/>
    </row>
    <row r="9" spans="1:10" ht="18" customHeight="1" thickBot="1">
      <c r="A9" s="1388"/>
      <c r="B9" s="1392"/>
      <c r="C9" s="1393"/>
      <c r="D9" s="1393"/>
      <c r="E9" s="1393"/>
      <c r="F9" s="1394"/>
      <c r="G9" s="1326"/>
      <c r="H9" s="1326"/>
      <c r="I9" s="1327"/>
    </row>
    <row r="10" spans="1:10" ht="22.15" customHeight="1" thickBot="1">
      <c r="A10" s="441" t="s">
        <v>893</v>
      </c>
      <c r="B10" s="1382"/>
      <c r="C10" s="1383"/>
      <c r="D10" s="1383"/>
      <c r="E10" s="1383"/>
      <c r="F10" s="1384"/>
      <c r="G10" s="1328"/>
      <c r="H10" s="1328"/>
      <c r="I10" s="1329"/>
    </row>
    <row r="11" spans="1:10" ht="27.6" customHeight="1" thickBot="1">
      <c r="A11" s="1324" t="s">
        <v>892</v>
      </c>
      <c r="B11" s="440" t="s">
        <v>890</v>
      </c>
      <c r="C11" s="440" t="s">
        <v>890</v>
      </c>
      <c r="D11" s="440" t="s">
        <v>891</v>
      </c>
      <c r="E11" s="440" t="s">
        <v>890</v>
      </c>
      <c r="F11" s="439" t="s">
        <v>889</v>
      </c>
      <c r="G11" s="1363" t="s">
        <v>888</v>
      </c>
      <c r="H11" s="1364"/>
      <c r="I11" s="1365"/>
    </row>
    <row r="12" spans="1:10" ht="15" thickBot="1">
      <c r="A12" s="1325"/>
      <c r="B12" s="438" t="s">
        <v>887</v>
      </c>
      <c r="C12" s="438" t="s">
        <v>886</v>
      </c>
      <c r="D12" s="438" t="s">
        <v>885</v>
      </c>
      <c r="E12" s="438" t="s">
        <v>870</v>
      </c>
      <c r="F12" s="437"/>
      <c r="G12" s="1366"/>
      <c r="H12" s="1367"/>
      <c r="I12" s="1368"/>
    </row>
    <row r="13" spans="1:10" ht="36" customHeight="1" thickBot="1">
      <c r="A13" s="1369"/>
      <c r="B13" s="1370"/>
      <c r="C13" s="1370"/>
      <c r="D13" s="1370"/>
      <c r="E13" s="1370"/>
      <c r="F13" s="1371"/>
      <c r="G13" s="1316" t="s">
        <v>884</v>
      </c>
      <c r="H13" s="1317"/>
      <c r="I13" s="1318"/>
    </row>
    <row r="14" spans="1:10" ht="32.25" customHeight="1" thickBot="1">
      <c r="A14" s="436" t="s">
        <v>883</v>
      </c>
      <c r="B14" s="1319"/>
      <c r="C14" s="1319"/>
      <c r="D14" s="1319"/>
      <c r="E14" s="1319"/>
      <c r="F14" s="1320"/>
      <c r="G14" s="1361" t="s">
        <v>882</v>
      </c>
      <c r="H14" s="1361"/>
      <c r="I14" s="1362"/>
    </row>
    <row r="15" spans="1:10" ht="32.25" customHeight="1" thickBot="1">
      <c r="A15" s="429"/>
      <c r="B15" s="1377" t="s">
        <v>873</v>
      </c>
      <c r="C15" s="1377"/>
      <c r="D15" s="1377"/>
      <c r="E15" s="1377" t="s">
        <v>881</v>
      </c>
      <c r="F15" s="1378"/>
      <c r="G15" s="1316" t="s">
        <v>880</v>
      </c>
      <c r="H15" s="1317"/>
      <c r="I15" s="1318"/>
    </row>
    <row r="16" spans="1:10" ht="15">
      <c r="A16" s="435" t="s">
        <v>879</v>
      </c>
      <c r="B16" s="432" t="s">
        <v>878</v>
      </c>
      <c r="C16" s="432"/>
      <c r="D16" s="431"/>
      <c r="E16" s="419" t="s">
        <v>877</v>
      </c>
      <c r="F16" s="432"/>
      <c r="G16" s="432"/>
      <c r="H16" s="432"/>
      <c r="I16" s="434"/>
    </row>
    <row r="17" spans="1:9" ht="15">
      <c r="A17" s="435"/>
      <c r="B17" s="432" t="s">
        <v>876</v>
      </c>
      <c r="C17" s="432"/>
      <c r="D17" s="431"/>
      <c r="F17" s="432"/>
      <c r="G17" s="432"/>
      <c r="H17" s="432"/>
      <c r="I17" s="434"/>
    </row>
    <row r="18" spans="1:9" ht="18" customHeight="1" thickBot="1">
      <c r="A18" s="433"/>
      <c r="B18" s="432" t="s">
        <v>1143</v>
      </c>
      <c r="C18" s="432"/>
      <c r="D18" s="431"/>
      <c r="E18" s="431"/>
      <c r="F18" s="427"/>
      <c r="G18" s="427"/>
      <c r="H18" s="427"/>
      <c r="I18" s="430"/>
    </row>
    <row r="19" spans="1:9" ht="28.9" customHeight="1">
      <c r="A19" s="1358" t="s">
        <v>875</v>
      </c>
      <c r="B19" s="1359"/>
      <c r="C19" s="1359"/>
      <c r="D19" s="1360"/>
      <c r="E19" s="1380" t="s">
        <v>874</v>
      </c>
      <c r="F19" s="1380"/>
      <c r="G19" s="1380"/>
      <c r="H19" s="1380"/>
      <c r="I19" s="1381"/>
    </row>
    <row r="20" spans="1:9" ht="15" thickBot="1">
      <c r="A20" s="429"/>
      <c r="B20" s="428" t="s">
        <v>873</v>
      </c>
      <c r="C20" s="427"/>
      <c r="D20" s="426" t="s">
        <v>872</v>
      </c>
      <c r="E20" s="1397" t="s">
        <v>871</v>
      </c>
      <c r="F20" s="1397"/>
      <c r="G20" s="1397"/>
      <c r="H20" s="1397" t="s">
        <v>870</v>
      </c>
      <c r="I20" s="1398"/>
    </row>
    <row r="21" spans="1:9" ht="18.600000000000001" customHeight="1" thickBot="1">
      <c r="A21" s="1337" t="s">
        <v>869</v>
      </c>
      <c r="B21" s="1338"/>
      <c r="C21" s="1338"/>
      <c r="D21" s="1339"/>
      <c r="E21" s="1412" t="s">
        <v>868</v>
      </c>
      <c r="F21" s="1413"/>
      <c r="G21" s="1413"/>
      <c r="H21" s="1413"/>
      <c r="I21" s="1414"/>
    </row>
    <row r="22" spans="1:9" ht="21" customHeight="1" thickBot="1">
      <c r="A22" s="1380" t="s">
        <v>867</v>
      </c>
      <c r="B22" s="1415"/>
      <c r="C22" s="1415"/>
      <c r="D22" s="1415"/>
      <c r="E22" s="1415"/>
      <c r="F22" s="1415"/>
      <c r="G22" s="1415"/>
      <c r="H22" s="1415"/>
      <c r="I22" s="1415"/>
    </row>
    <row r="23" spans="1:9" ht="15">
      <c r="A23" s="1334" t="s">
        <v>866</v>
      </c>
      <c r="B23" s="1335"/>
      <c r="C23" s="1335"/>
      <c r="D23" s="1335"/>
      <c r="E23" s="1335"/>
      <c r="F23" s="1335"/>
      <c r="G23" s="1335"/>
      <c r="H23" s="1335"/>
      <c r="I23" s="1336"/>
    </row>
    <row r="24" spans="1:9">
      <c r="A24" s="1402" t="s">
        <v>865</v>
      </c>
      <c r="B24" s="1403"/>
      <c r="C24" s="1403"/>
      <c r="D24" s="1403"/>
      <c r="E24" s="1403"/>
      <c r="F24" s="1403"/>
      <c r="G24" s="1403"/>
      <c r="H24" s="1403"/>
      <c r="I24" s="1404"/>
    </row>
    <row r="25" spans="1:9" ht="14.45" customHeight="1">
      <c r="A25" s="1402" t="s">
        <v>864</v>
      </c>
      <c r="B25" s="1403"/>
      <c r="C25" s="1403"/>
      <c r="D25" s="1403"/>
      <c r="E25" s="1403"/>
      <c r="F25" s="1403"/>
      <c r="G25" s="1403"/>
      <c r="H25" s="1403"/>
      <c r="I25" s="1404"/>
    </row>
    <row r="26" spans="1:9" ht="15" customHeight="1">
      <c r="A26" s="1399" t="s">
        <v>863</v>
      </c>
      <c r="B26" s="1400"/>
      <c r="C26" s="1400"/>
      <c r="D26" s="1400"/>
      <c r="E26" s="1400"/>
      <c r="F26" s="1400"/>
      <c r="G26" s="1400"/>
      <c r="H26" s="1400"/>
      <c r="I26" s="1401"/>
    </row>
    <row r="27" spans="1:9">
      <c r="A27" s="425"/>
      <c r="B27" s="422"/>
      <c r="C27" s="422"/>
      <c r="D27" s="422"/>
      <c r="E27" s="422"/>
      <c r="F27" s="422"/>
      <c r="G27" s="422"/>
      <c r="H27" s="422"/>
      <c r="I27" s="423"/>
    </row>
    <row r="28" spans="1:9" ht="18" customHeight="1">
      <c r="A28" s="1406" t="s">
        <v>862</v>
      </c>
      <c r="B28" s="1407"/>
      <c r="C28" s="1407"/>
      <c r="D28" s="1407"/>
      <c r="E28" s="1407"/>
      <c r="F28" s="1407"/>
      <c r="G28" s="1407"/>
      <c r="H28" s="1407"/>
      <c r="I28" s="1408"/>
    </row>
    <row r="29" spans="1:9" ht="18" customHeight="1">
      <c r="A29" s="1410" t="s">
        <v>861</v>
      </c>
      <c r="B29" s="1411"/>
      <c r="C29" s="1411"/>
      <c r="D29" s="1411"/>
      <c r="E29" s="424" t="s">
        <v>860</v>
      </c>
      <c r="F29" s="422"/>
      <c r="G29" s="422"/>
      <c r="H29" s="422"/>
      <c r="I29" s="423"/>
    </row>
    <row r="30" spans="1:9" ht="18" customHeight="1">
      <c r="A30" s="1410" t="s">
        <v>859</v>
      </c>
      <c r="B30" s="1411"/>
      <c r="C30" s="1411"/>
      <c r="D30" s="1411"/>
      <c r="E30" s="424" t="s">
        <v>858</v>
      </c>
      <c r="F30" s="422"/>
      <c r="G30" s="422"/>
      <c r="H30" s="422"/>
      <c r="I30" s="423"/>
    </row>
    <row r="31" spans="1:9" ht="18" customHeight="1">
      <c r="A31" s="1405" t="s">
        <v>857</v>
      </c>
      <c r="B31" s="422" t="s">
        <v>856</v>
      </c>
      <c r="C31" s="422"/>
      <c r="D31" s="1340"/>
      <c r="E31" s="1341"/>
      <c r="F31" s="1341"/>
      <c r="G31" s="1341"/>
      <c r="H31" s="1341"/>
      <c r="I31" s="1342"/>
    </row>
    <row r="32" spans="1:9" ht="18" customHeight="1">
      <c r="A32" s="1405"/>
      <c r="B32" s="422" t="s">
        <v>855</v>
      </c>
      <c r="C32" s="422"/>
      <c r="D32" s="1340"/>
      <c r="E32" s="1341"/>
      <c r="F32" s="1341"/>
      <c r="G32" s="1341"/>
      <c r="H32" s="1341"/>
      <c r="I32" s="1342"/>
    </row>
    <row r="33" spans="1:9" ht="18" customHeight="1">
      <c r="A33" s="1405"/>
      <c r="B33" s="422" t="s">
        <v>854</v>
      </c>
      <c r="C33" s="422"/>
      <c r="D33" s="1340"/>
      <c r="E33" s="1341"/>
      <c r="F33" s="1341"/>
      <c r="G33" s="1341"/>
      <c r="H33" s="1341"/>
      <c r="I33" s="1342"/>
    </row>
    <row r="34" spans="1:9" ht="18" customHeight="1">
      <c r="A34" s="1395" t="s">
        <v>853</v>
      </c>
      <c r="B34" s="1396"/>
      <c r="C34" s="1396"/>
      <c r="D34" s="1396" t="s">
        <v>852</v>
      </c>
      <c r="E34" s="1396"/>
      <c r="F34" s="1396"/>
      <c r="G34" s="1396"/>
      <c r="H34" s="1396"/>
      <c r="I34" s="1409"/>
    </row>
    <row r="35" spans="1:9" ht="18" customHeight="1">
      <c r="A35" s="1395" t="s">
        <v>853</v>
      </c>
      <c r="B35" s="1396"/>
      <c r="C35" s="1396"/>
      <c r="D35" s="1396" t="s">
        <v>852</v>
      </c>
      <c r="E35" s="1396"/>
      <c r="F35" s="1396"/>
      <c r="G35" s="1396"/>
      <c r="H35" s="1396"/>
      <c r="I35" s="1409"/>
    </row>
    <row r="36" spans="1:9" ht="18" customHeight="1">
      <c r="A36" s="421" t="s">
        <v>851</v>
      </c>
      <c r="B36" s="1344"/>
      <c r="C36" s="1344"/>
      <c r="D36" s="1344"/>
      <c r="E36" s="1344"/>
      <c r="F36" s="1344"/>
      <c r="G36" s="1348" t="s">
        <v>850</v>
      </c>
      <c r="H36" s="1348"/>
      <c r="I36" s="1349"/>
    </row>
    <row r="37" spans="1:9" ht="15.75" customHeight="1">
      <c r="A37" s="421" t="s">
        <v>849</v>
      </c>
      <c r="B37" s="1343"/>
      <c r="C37" s="1343"/>
      <c r="D37" s="1346" t="s">
        <v>848</v>
      </c>
      <c r="E37" s="1344"/>
      <c r="F37" s="1344"/>
      <c r="G37" s="1348"/>
      <c r="H37" s="1348"/>
      <c r="I37" s="1349"/>
    </row>
    <row r="38" spans="1:9" ht="15.75" customHeight="1" thickBot="1">
      <c r="A38" s="420" t="s">
        <v>847</v>
      </c>
      <c r="B38" s="1345"/>
      <c r="C38" s="1345"/>
      <c r="D38" s="1347"/>
      <c r="E38" s="1345"/>
      <c r="F38" s="1345"/>
      <c r="G38" s="1350"/>
      <c r="H38" s="1350"/>
      <c r="I38" s="1351"/>
    </row>
  </sheetData>
  <sheetProtection selectLockedCells="1" selectUnlockedCells="1"/>
  <mergeCells count="54">
    <mergeCell ref="B15:D15"/>
    <mergeCell ref="A35:C35"/>
    <mergeCell ref="H20:I20"/>
    <mergeCell ref="E20:G20"/>
    <mergeCell ref="A26:I26"/>
    <mergeCell ref="A25:I25"/>
    <mergeCell ref="A31:A33"/>
    <mergeCell ref="A28:I28"/>
    <mergeCell ref="A24:I24"/>
    <mergeCell ref="D35:I35"/>
    <mergeCell ref="A29:D29"/>
    <mergeCell ref="A30:D30"/>
    <mergeCell ref="A34:C34"/>
    <mergeCell ref="E21:I21"/>
    <mergeCell ref="D34:I34"/>
    <mergeCell ref="A22:I22"/>
    <mergeCell ref="B2:F2"/>
    <mergeCell ref="B3:F3"/>
    <mergeCell ref="B1:F1"/>
    <mergeCell ref="A19:D19"/>
    <mergeCell ref="G15:I15"/>
    <mergeCell ref="G14:I14"/>
    <mergeCell ref="G11:I12"/>
    <mergeCell ref="A13:F13"/>
    <mergeCell ref="G1:I3"/>
    <mergeCell ref="E15:F15"/>
    <mergeCell ref="B4:F4"/>
    <mergeCell ref="E19:I19"/>
    <mergeCell ref="B10:F10"/>
    <mergeCell ref="G7:H7"/>
    <mergeCell ref="A8:A9"/>
    <mergeCell ref="B8:F9"/>
    <mergeCell ref="B37:C37"/>
    <mergeCell ref="E37:F38"/>
    <mergeCell ref="B38:C38"/>
    <mergeCell ref="D37:D38"/>
    <mergeCell ref="G36:I38"/>
    <mergeCell ref="B36:F36"/>
    <mergeCell ref="A23:I23"/>
    <mergeCell ref="A21:D21"/>
    <mergeCell ref="D31:I31"/>
    <mergeCell ref="D32:I32"/>
    <mergeCell ref="D33:I33"/>
    <mergeCell ref="H4:I4"/>
    <mergeCell ref="G13:I13"/>
    <mergeCell ref="B14:F14"/>
    <mergeCell ref="B7:F7"/>
    <mergeCell ref="A11:A12"/>
    <mergeCell ref="G8:I10"/>
    <mergeCell ref="H5:I5"/>
    <mergeCell ref="H6:I6"/>
    <mergeCell ref="E5:F5"/>
    <mergeCell ref="B5:C5"/>
    <mergeCell ref="B6:F6"/>
  </mergeCells>
  <pageMargins left="0.7" right="0.7" top="0.9" bottom="0.75" header="0.2" footer="0.3"/>
  <pageSetup scale="98" fitToWidth="0" orientation="portrait" r:id="rId1"/>
  <headerFooter>
    <oddHeader>&amp;L
&amp;G&amp;C&amp;"-,Bold"&amp;12
Chain of Custody for 
Total Coliform Bacteria Samples&amp;R&amp;"-,Bold"&amp;7
SGS North America, Inc.
200 West Potter Rd
Anchorage, AK 99518
(907) 562-2343</oddHeader>
    <oddFooter xml:space="preserve">&amp;RF083_Blank_COC_TotalColi_rev20201204
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Check Box 1">
              <controlPr defaultSize="0" autoFill="0" autoLine="0" autoPict="0">
                <anchor moveWithCells="1">
                  <from>
                    <xdr:col>6</xdr:col>
                    <xdr:colOff>104775</xdr:colOff>
                    <xdr:row>12</xdr:row>
                    <xdr:rowOff>114300</xdr:rowOff>
                  </from>
                  <to>
                    <xdr:col>6</xdr:col>
                    <xdr:colOff>352425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6" name="Check Box 2">
              <controlPr defaultSize="0" autoFill="0" autoLine="0" autoPict="0">
                <anchor moveWithCells="1">
                  <from>
                    <xdr:col>0</xdr:col>
                    <xdr:colOff>114300</xdr:colOff>
                    <xdr:row>22</xdr:row>
                    <xdr:rowOff>152400</xdr:rowOff>
                  </from>
                  <to>
                    <xdr:col>0</xdr:col>
                    <xdr:colOff>361950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7" name="Check Box 3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8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14</xdr:row>
                    <xdr:rowOff>390525</xdr:rowOff>
                  </from>
                  <to>
                    <xdr:col>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9" name="Check Box 5">
              <controlPr defaultSize="0" autoFill="0" autoLine="0" autoPict="0">
                <anchor moveWithCells="1">
                  <from>
                    <xdr:col>6</xdr:col>
                    <xdr:colOff>104775</xdr:colOff>
                    <xdr:row>13</xdr:row>
                    <xdr:rowOff>114300</xdr:rowOff>
                  </from>
                  <to>
                    <xdr:col>6</xdr:col>
                    <xdr:colOff>352425</xdr:colOff>
                    <xdr:row>13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10" name="Check Box 6">
              <controlPr defaultSize="0" autoFill="0" autoLine="0" autoPict="0">
                <anchor moveWithCells="1">
                  <from>
                    <xdr:col>6</xdr:col>
                    <xdr:colOff>104775</xdr:colOff>
                    <xdr:row>14</xdr:row>
                    <xdr:rowOff>114300</xdr:rowOff>
                  </from>
                  <to>
                    <xdr:col>6</xdr:col>
                    <xdr:colOff>352425</xdr:colOff>
                    <xdr:row>14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1" name="Check Box 7">
              <controlPr defaultSize="0" autoFill="0" autoLine="0" autoPict="0">
                <anchor moveWithCells="1">
                  <from>
                    <xdr:col>0</xdr:col>
                    <xdr:colOff>866775</xdr:colOff>
                    <xdr:row>20</xdr:row>
                    <xdr:rowOff>28575</xdr:rowOff>
                  </from>
                  <to>
                    <xdr:col>0</xdr:col>
                    <xdr:colOff>1104900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2" name="Check Box 8">
              <controlPr defaultSize="0" autoFill="0" autoLine="0" autoPict="0">
                <anchor moveWithCells="1">
                  <from>
                    <xdr:col>4</xdr:col>
                    <xdr:colOff>571500</xdr:colOff>
                    <xdr:row>20</xdr:row>
                    <xdr:rowOff>28575</xdr:rowOff>
                  </from>
                  <to>
                    <xdr:col>5</xdr:col>
                    <xdr:colOff>171450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3" name="Check Box 9">
              <controlPr defaultSize="0" autoFill="0" autoLine="0" autoPict="0">
                <anchor moveWithCells="1">
                  <from>
                    <xdr:col>6</xdr:col>
                    <xdr:colOff>0</xdr:colOff>
                    <xdr:row>20</xdr:row>
                    <xdr:rowOff>28575</xdr:rowOff>
                  </from>
                  <to>
                    <xdr:col>6</xdr:col>
                    <xdr:colOff>247650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4" name="Check Box 10">
              <controlPr defaultSize="0" autoFill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247650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5" name="Check Box 11">
              <controlPr defaultSize="0" autoFill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247650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6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15</xdr:row>
                    <xdr:rowOff>161925</xdr:rowOff>
                  </from>
                  <to>
                    <xdr:col>1</xdr:col>
                    <xdr:colOff>323850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7" name="Check Box 13">
              <controlPr defaultSize="0" autoFill="0" autoLine="0" autoPict="0">
                <anchor moveWithCells="1">
                  <from>
                    <xdr:col>0</xdr:col>
                    <xdr:colOff>114300</xdr:colOff>
                    <xdr:row>24</xdr:row>
                    <xdr:rowOff>152400</xdr:rowOff>
                  </from>
                  <to>
                    <xdr:col>0</xdr:col>
                    <xdr:colOff>361950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8" name="Check Box 14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9" name="Check Box 15">
              <controlPr defaultSize="0" autoFill="0" autoLine="0" autoPict="0">
                <anchor moveWithCells="1">
                  <from>
                    <xdr:col>3</xdr:col>
                    <xdr:colOff>457200</xdr:colOff>
                    <xdr:row>14</xdr:row>
                    <xdr:rowOff>390525</xdr:rowOff>
                  </from>
                  <to>
                    <xdr:col>4</xdr:col>
                    <xdr:colOff>66675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20" name="Check Box 16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390525</xdr:rowOff>
                  </from>
                  <to>
                    <xdr:col>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S59"/>
  <sheetViews>
    <sheetView view="pageLayout" topLeftCell="A10" zoomScaleNormal="100" workbookViewId="0">
      <selection activeCell="K2" sqref="K2"/>
    </sheetView>
  </sheetViews>
  <sheetFormatPr defaultColWidth="2.7109375" defaultRowHeight="15" customHeight="1"/>
  <cols>
    <col min="1" max="2" width="2.7109375" style="365"/>
    <col min="3" max="3" width="1" style="365" customWidth="1"/>
    <col min="4" max="4" width="2.7109375" style="365" hidden="1" customWidth="1"/>
    <col min="5" max="5" width="2.7109375" style="365"/>
    <col min="6" max="6" width="3.140625" style="365" customWidth="1"/>
    <col min="7" max="12" width="2.7109375" style="365"/>
    <col min="13" max="13" width="3.28515625" style="365" customWidth="1"/>
    <col min="14" max="16" width="2.7109375" style="365"/>
    <col min="17" max="17" width="7" style="365" customWidth="1"/>
    <col min="18" max="18" width="3.7109375" style="365" customWidth="1"/>
    <col min="19" max="25" width="2.7109375" style="365"/>
    <col min="26" max="26" width="6.140625" style="365" customWidth="1"/>
    <col min="27" max="27" width="7.85546875" style="365" customWidth="1"/>
    <col min="28" max="29" width="7" style="365" customWidth="1"/>
    <col min="30" max="30" width="4.28515625" style="365" customWidth="1"/>
    <col min="31" max="31" width="3.140625" style="365" customWidth="1"/>
    <col min="32" max="32" width="4.28515625" style="365" customWidth="1"/>
    <col min="33" max="33" width="3.140625" style="365" customWidth="1"/>
    <col min="34" max="34" width="4.28515625" style="365" customWidth="1"/>
    <col min="35" max="35" width="3.140625" style="365" customWidth="1"/>
    <col min="36" max="36" width="2.7109375" style="365"/>
    <col min="37" max="37" width="5.28515625" style="365" customWidth="1"/>
    <col min="38" max="42" width="2.7109375" style="365"/>
    <col min="43" max="43" width="2.42578125" style="365" customWidth="1"/>
    <col min="44" max="44" width="3.7109375" style="365" customWidth="1"/>
    <col min="45" max="16384" width="2.7109375" style="365"/>
  </cols>
  <sheetData>
    <row r="1" spans="1:45" ht="15" customHeight="1">
      <c r="A1" s="465"/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7" t="s">
        <v>30</v>
      </c>
      <c r="T1" s="467"/>
      <c r="U1" s="466"/>
      <c r="V1" s="466"/>
      <c r="W1" s="468"/>
      <c r="X1" s="468"/>
      <c r="Y1" s="466"/>
      <c r="Z1" s="466"/>
      <c r="AA1" s="466"/>
      <c r="AB1" s="466"/>
      <c r="AC1" s="466"/>
      <c r="AD1" s="466"/>
      <c r="AE1" s="466"/>
      <c r="AF1" s="466"/>
      <c r="AG1" s="466"/>
      <c r="AH1" s="466"/>
      <c r="AI1" s="466"/>
      <c r="AJ1" s="1416" t="s">
        <v>845</v>
      </c>
      <c r="AK1" s="1416"/>
      <c r="AL1" s="1416"/>
      <c r="AM1" s="1416"/>
      <c r="AN1" s="1416"/>
      <c r="AO1" s="1416"/>
      <c r="AP1" s="1416"/>
      <c r="AQ1" s="469"/>
      <c r="AR1" s="470"/>
      <c r="AS1" s="470"/>
    </row>
    <row r="2" spans="1:45" ht="15" customHeight="1">
      <c r="A2" s="471"/>
      <c r="B2" s="470"/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S2" s="472" t="s">
        <v>844</v>
      </c>
      <c r="T2" s="472"/>
      <c r="AJ2" s="473"/>
      <c r="AK2" s="474"/>
      <c r="AL2" s="475"/>
      <c r="AM2" s="474"/>
      <c r="AN2" s="475"/>
      <c r="AO2" s="474"/>
      <c r="AP2" s="476"/>
      <c r="AQ2" s="477"/>
      <c r="AS2" s="470"/>
    </row>
    <row r="3" spans="1:45" ht="15" customHeight="1">
      <c r="A3" s="471"/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2" t="s">
        <v>843</v>
      </c>
      <c r="T3" s="472"/>
      <c r="U3" s="470"/>
      <c r="V3" s="470"/>
      <c r="Y3" s="470"/>
      <c r="Z3" s="470"/>
      <c r="AA3" s="470"/>
      <c r="AB3" s="470"/>
      <c r="AC3" s="470"/>
      <c r="AD3" s="470"/>
      <c r="AE3" s="470"/>
      <c r="AF3" s="470"/>
      <c r="AG3" s="470"/>
      <c r="AH3" s="470"/>
      <c r="AJ3" s="478"/>
      <c r="AK3" s="479"/>
      <c r="AL3" s="480"/>
      <c r="AM3" s="479"/>
      <c r="AN3" s="480"/>
      <c r="AO3" s="479"/>
      <c r="AP3" s="481"/>
      <c r="AQ3" s="477"/>
      <c r="AS3" s="470"/>
    </row>
    <row r="4" spans="1:45" ht="15" customHeight="1">
      <c r="A4" s="471"/>
      <c r="N4" s="470"/>
      <c r="O4" s="470"/>
      <c r="P4" s="470"/>
      <c r="Q4" s="470"/>
      <c r="R4" s="470"/>
      <c r="S4" s="551"/>
      <c r="T4" s="551"/>
      <c r="U4" s="470"/>
      <c r="V4" s="470"/>
      <c r="Y4" s="470"/>
      <c r="Z4" s="470"/>
      <c r="AA4" s="470"/>
      <c r="AB4" s="470"/>
      <c r="AC4" s="470"/>
      <c r="AD4" s="470"/>
      <c r="AE4" s="470"/>
      <c r="AF4" s="470"/>
      <c r="AG4" s="470"/>
      <c r="AH4" s="470"/>
      <c r="AJ4" s="482"/>
      <c r="AK4" s="480"/>
      <c r="AL4" s="480"/>
      <c r="AM4" s="480"/>
      <c r="AN4" s="480"/>
      <c r="AO4" s="480"/>
      <c r="AP4" s="483"/>
      <c r="AQ4" s="484"/>
    </row>
    <row r="5" spans="1:45" ht="15.75" customHeight="1">
      <c r="A5" s="1417" t="s">
        <v>921</v>
      </c>
      <c r="B5" s="1418"/>
      <c r="C5" s="1418"/>
      <c r="D5" s="1418"/>
      <c r="E5" s="1418"/>
      <c r="F5" s="1418"/>
      <c r="G5" s="1418"/>
      <c r="H5" s="1418"/>
      <c r="I5" s="1418"/>
      <c r="J5" s="1418"/>
      <c r="K5" s="1418"/>
      <c r="L5" s="1418"/>
      <c r="M5" s="1418"/>
      <c r="N5" s="1418"/>
      <c r="O5" s="1418"/>
      <c r="P5" s="1418"/>
      <c r="Q5" s="1418"/>
      <c r="R5" s="1418"/>
      <c r="S5" s="1418"/>
      <c r="T5" s="1418"/>
      <c r="U5" s="1418"/>
      <c r="V5" s="1418"/>
      <c r="W5" s="1418"/>
      <c r="X5" s="1418"/>
      <c r="Y5" s="1418"/>
      <c r="Z5" s="1418"/>
      <c r="AA5" s="1418"/>
      <c r="AB5" s="1418"/>
      <c r="AC5" s="1418"/>
      <c r="AD5" s="1418"/>
      <c r="AE5" s="1418"/>
      <c r="AF5" s="1418"/>
      <c r="AG5" s="1418"/>
      <c r="AH5" s="1418"/>
      <c r="AJ5" s="482"/>
      <c r="AK5" s="480"/>
      <c r="AL5" s="480"/>
      <c r="AM5" s="480"/>
      <c r="AN5" s="480"/>
      <c r="AO5" s="480"/>
      <c r="AP5" s="483"/>
      <c r="AQ5" s="484"/>
    </row>
    <row r="6" spans="1:45" ht="15" customHeight="1">
      <c r="A6" s="1417"/>
      <c r="B6" s="1418"/>
      <c r="C6" s="1418"/>
      <c r="D6" s="1418"/>
      <c r="E6" s="1418"/>
      <c r="F6" s="1418"/>
      <c r="G6" s="1418"/>
      <c r="H6" s="1418"/>
      <c r="I6" s="1418"/>
      <c r="J6" s="1418"/>
      <c r="K6" s="1418"/>
      <c r="L6" s="1418"/>
      <c r="M6" s="1418"/>
      <c r="N6" s="1418"/>
      <c r="O6" s="1418"/>
      <c r="P6" s="1418"/>
      <c r="Q6" s="1418"/>
      <c r="R6" s="1418"/>
      <c r="S6" s="1418"/>
      <c r="T6" s="1418"/>
      <c r="U6" s="1418"/>
      <c r="V6" s="1418"/>
      <c r="W6" s="1418"/>
      <c r="X6" s="1418"/>
      <c r="Y6" s="1418"/>
      <c r="Z6" s="1418"/>
      <c r="AA6" s="1418"/>
      <c r="AB6" s="1418"/>
      <c r="AC6" s="1418"/>
      <c r="AD6" s="1418"/>
      <c r="AE6" s="1418"/>
      <c r="AF6" s="1418"/>
      <c r="AG6" s="1418"/>
      <c r="AH6" s="1418"/>
      <c r="AJ6" s="485"/>
      <c r="AK6" s="486"/>
      <c r="AL6" s="486"/>
      <c r="AM6" s="486"/>
      <c r="AN6" s="486"/>
      <c r="AO6" s="486"/>
      <c r="AP6" s="487"/>
      <c r="AQ6" s="484"/>
    </row>
    <row r="7" spans="1:45" ht="3.75" customHeight="1">
      <c r="A7" s="471"/>
      <c r="S7" s="551"/>
      <c r="T7" s="551"/>
      <c r="AQ7" s="484"/>
    </row>
    <row r="8" spans="1:45" ht="14.25" customHeight="1" thickBot="1">
      <c r="A8" s="494" t="s">
        <v>922</v>
      </c>
      <c r="B8" s="489"/>
      <c r="C8" s="489"/>
      <c r="D8" s="489"/>
      <c r="E8" s="489"/>
      <c r="F8" s="489"/>
      <c r="G8" s="489"/>
      <c r="H8" s="489"/>
      <c r="I8" s="489"/>
      <c r="J8" s="489"/>
      <c r="K8" s="489"/>
      <c r="L8" s="489"/>
      <c r="M8" s="489"/>
      <c r="N8" s="489"/>
      <c r="O8" s="489"/>
      <c r="P8" s="489"/>
      <c r="Q8" s="489"/>
      <c r="R8" s="490"/>
      <c r="S8" s="490"/>
      <c r="T8" s="490"/>
      <c r="U8" s="490"/>
      <c r="V8" s="490"/>
      <c r="W8" s="490"/>
      <c r="X8" s="490"/>
      <c r="Y8" s="490"/>
      <c r="Z8" s="490"/>
      <c r="AA8" s="490"/>
      <c r="AB8" s="490"/>
      <c r="AC8" s="490"/>
      <c r="AD8" s="490"/>
      <c r="AE8" s="490"/>
      <c r="AF8" s="490"/>
      <c r="AG8" s="490"/>
      <c r="AH8" s="1419"/>
      <c r="AI8" s="1419"/>
      <c r="AJ8" s="1419"/>
      <c r="AK8" s="1419"/>
      <c r="AL8" s="1419"/>
      <c r="AM8" s="1419"/>
      <c r="AN8" s="1419"/>
      <c r="AO8" s="1419"/>
      <c r="AP8" s="1419"/>
      <c r="AQ8" s="1420"/>
    </row>
    <row r="9" spans="1:45" ht="40.15" customHeight="1">
      <c r="A9" s="1421" t="s">
        <v>923</v>
      </c>
      <c r="B9" s="1422"/>
      <c r="C9" s="1422"/>
      <c r="D9" s="1422"/>
      <c r="E9" s="1422"/>
      <c r="F9" s="1422"/>
      <c r="G9" s="1422"/>
      <c r="H9" s="1423"/>
      <c r="I9" s="1423"/>
      <c r="J9" s="1423"/>
      <c r="K9" s="1423"/>
      <c r="L9" s="1423"/>
      <c r="M9" s="1423"/>
      <c r="N9" s="1423"/>
      <c r="O9" s="1423"/>
      <c r="P9" s="1423"/>
      <c r="Q9" s="1423"/>
      <c r="R9" s="1424" t="s">
        <v>900</v>
      </c>
      <c r="S9" s="1425"/>
      <c r="T9" s="1425"/>
      <c r="U9" s="1426"/>
      <c r="V9" s="1426"/>
      <c r="W9" s="1426"/>
      <c r="X9" s="1426"/>
      <c r="Y9" s="1426"/>
      <c r="Z9" s="1426"/>
      <c r="AA9" s="1426"/>
      <c r="AB9" s="1426"/>
      <c r="AC9" s="1427" t="s">
        <v>924</v>
      </c>
      <c r="AD9" s="1428"/>
      <c r="AE9" s="1428"/>
      <c r="AF9" s="1428"/>
      <c r="AG9" s="1428"/>
      <c r="AH9" s="1428"/>
      <c r="AI9" s="1428"/>
      <c r="AJ9" s="1428"/>
      <c r="AK9" s="1428"/>
      <c r="AL9" s="1428"/>
      <c r="AM9" s="1428"/>
      <c r="AN9" s="1428"/>
      <c r="AO9" s="1428"/>
      <c r="AP9" s="1428"/>
      <c r="AQ9" s="1429"/>
    </row>
    <row r="10" spans="1:45" ht="33.75" customHeight="1">
      <c r="A10" s="1421" t="s">
        <v>828</v>
      </c>
      <c r="B10" s="1422"/>
      <c r="C10" s="1422"/>
      <c r="D10" s="1422"/>
      <c r="E10" s="1422"/>
      <c r="F10" s="1426"/>
      <c r="G10" s="1425"/>
      <c r="H10" s="1425"/>
      <c r="I10" s="1425"/>
      <c r="J10" s="1425"/>
      <c r="K10" s="1430"/>
      <c r="L10" s="1430"/>
      <c r="M10" s="1430"/>
      <c r="N10" s="1430"/>
      <c r="O10" s="1430"/>
      <c r="P10" s="1430"/>
      <c r="Q10" s="1430"/>
      <c r="R10" s="1430"/>
      <c r="S10" s="1430"/>
      <c r="T10" s="1430"/>
      <c r="U10" s="1430"/>
      <c r="V10" s="1430"/>
      <c r="W10" s="1430"/>
      <c r="X10" s="1430"/>
      <c r="Y10" s="1430"/>
      <c r="Z10" s="1430"/>
      <c r="AA10" s="1430"/>
      <c r="AB10" s="1430"/>
      <c r="AC10" s="491"/>
      <c r="AD10" s="1431" t="s">
        <v>925</v>
      </c>
      <c r="AE10" s="1426"/>
      <c r="AF10" s="1426"/>
      <c r="AG10" s="1426"/>
      <c r="AH10" s="1426"/>
      <c r="AI10" s="1426"/>
      <c r="AJ10" s="1426"/>
      <c r="AK10" s="1426"/>
      <c r="AL10" s="1426"/>
      <c r="AM10" s="1426"/>
      <c r="AN10" s="1426"/>
      <c r="AO10" s="1426"/>
      <c r="AP10" s="1426"/>
      <c r="AQ10" s="1432"/>
    </row>
    <row r="11" spans="1:45" ht="32.25" customHeight="1">
      <c r="A11" s="1433" t="s">
        <v>926</v>
      </c>
      <c r="B11" s="1434"/>
      <c r="C11" s="1434"/>
      <c r="D11" s="1434"/>
      <c r="E11" s="1434"/>
      <c r="F11" s="1434"/>
      <c r="G11" s="1434"/>
      <c r="H11" s="1434"/>
      <c r="I11" s="1434"/>
      <c r="J11" s="1434"/>
      <c r="K11" s="1435"/>
      <c r="L11" s="1426"/>
      <c r="M11" s="1426"/>
      <c r="N11" s="1426"/>
      <c r="O11" s="1426"/>
      <c r="P11" s="1426"/>
      <c r="Q11" s="1426"/>
      <c r="R11" s="1426"/>
      <c r="S11" s="1426"/>
      <c r="T11" s="1426"/>
      <c r="U11" s="1426"/>
      <c r="V11" s="1426"/>
      <c r="W11" s="1426"/>
      <c r="X11" s="1426"/>
      <c r="Y11" s="1426"/>
      <c r="Z11" s="1426"/>
      <c r="AA11" s="1426"/>
      <c r="AB11" s="1426"/>
      <c r="AC11" s="492"/>
      <c r="AD11" s="1431" t="s">
        <v>927</v>
      </c>
      <c r="AE11" s="1426"/>
      <c r="AF11" s="1426"/>
      <c r="AG11" s="1426"/>
      <c r="AH11" s="1426"/>
      <c r="AI11" s="1426"/>
      <c r="AJ11" s="1426"/>
      <c r="AK11" s="1426"/>
      <c r="AL11" s="1426"/>
      <c r="AM11" s="1426"/>
      <c r="AN11" s="1426"/>
      <c r="AO11" s="1426"/>
      <c r="AP11" s="1426"/>
      <c r="AQ11" s="1432"/>
    </row>
    <row r="12" spans="1:45" ht="33" customHeight="1">
      <c r="A12" s="1436" t="s">
        <v>928</v>
      </c>
      <c r="B12" s="1437"/>
      <c r="C12" s="1437"/>
      <c r="D12" s="1437"/>
      <c r="E12" s="1437"/>
      <c r="F12" s="1437"/>
      <c r="G12" s="1425"/>
      <c r="H12" s="1425"/>
      <c r="I12" s="1425"/>
      <c r="J12" s="1425"/>
      <c r="K12" s="1425"/>
      <c r="L12" s="1425"/>
      <c r="M12" s="1425"/>
      <c r="N12" s="1425"/>
      <c r="O12" s="1425"/>
      <c r="P12" s="1425"/>
      <c r="Q12" s="1425"/>
      <c r="R12" s="1425"/>
      <c r="S12" s="1425"/>
      <c r="T12" s="1425"/>
      <c r="U12" s="1425"/>
      <c r="V12" s="1425"/>
      <c r="W12" s="1425"/>
      <c r="X12" s="1425"/>
      <c r="Y12" s="1425"/>
      <c r="Z12" s="1425"/>
      <c r="AA12" s="1425"/>
      <c r="AB12" s="1425"/>
      <c r="AC12" s="492"/>
      <c r="AD12" s="1431" t="s">
        <v>929</v>
      </c>
      <c r="AE12" s="1426"/>
      <c r="AF12" s="1426"/>
      <c r="AG12" s="1426"/>
      <c r="AH12" s="1426"/>
      <c r="AI12" s="1426"/>
      <c r="AJ12" s="1426"/>
      <c r="AK12" s="1426"/>
      <c r="AL12" s="1426"/>
      <c r="AM12" s="1426"/>
      <c r="AN12" s="1426"/>
      <c r="AO12" s="1426"/>
      <c r="AP12" s="1426"/>
      <c r="AQ12" s="1432"/>
    </row>
    <row r="13" spans="1:45" ht="33" customHeight="1" thickBot="1">
      <c r="A13" s="1438" t="s">
        <v>930</v>
      </c>
      <c r="B13" s="1437"/>
      <c r="C13" s="1437"/>
      <c r="D13" s="1437"/>
      <c r="E13" s="1437"/>
      <c r="F13" s="1437"/>
      <c r="G13" s="1425"/>
      <c r="H13" s="1425"/>
      <c r="I13" s="1425"/>
      <c r="J13" s="1425"/>
      <c r="K13" s="1425"/>
      <c r="L13" s="1425"/>
      <c r="M13" s="1425"/>
      <c r="N13" s="1425"/>
      <c r="O13" s="1425"/>
      <c r="P13" s="1425"/>
      <c r="Q13" s="1425"/>
      <c r="R13" s="1425"/>
      <c r="S13" s="1425"/>
      <c r="T13" s="1425"/>
      <c r="U13" s="1425"/>
      <c r="V13" s="1425"/>
      <c r="W13" s="1425"/>
      <c r="X13" s="1425"/>
      <c r="Y13" s="1425"/>
      <c r="Z13" s="1425"/>
      <c r="AA13" s="1425"/>
      <c r="AB13" s="1425"/>
      <c r="AC13" s="493"/>
      <c r="AD13" s="1439" t="s">
        <v>931</v>
      </c>
      <c r="AE13" s="1440"/>
      <c r="AF13" s="1440"/>
      <c r="AG13" s="1440"/>
      <c r="AH13" s="1440"/>
      <c r="AI13" s="1440"/>
      <c r="AJ13" s="1440"/>
      <c r="AK13" s="1440"/>
      <c r="AL13" s="1440"/>
      <c r="AM13" s="1440"/>
      <c r="AN13" s="1440"/>
      <c r="AO13" s="1440"/>
      <c r="AP13" s="1440"/>
      <c r="AQ13" s="1441"/>
    </row>
    <row r="14" spans="1:45" ht="19.5" customHeight="1" thickBot="1">
      <c r="A14" s="494" t="s">
        <v>932</v>
      </c>
      <c r="B14" s="489"/>
      <c r="C14" s="489"/>
      <c r="D14" s="489"/>
      <c r="E14" s="489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  <c r="W14" s="495"/>
      <c r="X14" s="495"/>
      <c r="Y14" s="495"/>
      <c r="Z14" s="1442" t="s">
        <v>933</v>
      </c>
      <c r="AA14" s="1443"/>
      <c r="AB14" s="1444"/>
      <c r="AC14" s="1445"/>
      <c r="AD14" s="1446"/>
      <c r="AE14" s="1446"/>
      <c r="AF14" s="1446"/>
      <c r="AG14" s="1446"/>
      <c r="AH14" s="1446"/>
      <c r="AI14" s="1446"/>
      <c r="AJ14" s="1446"/>
      <c r="AK14" s="1446"/>
      <c r="AL14" s="1446"/>
      <c r="AM14" s="1446"/>
      <c r="AN14" s="1446"/>
      <c r="AO14" s="1446"/>
      <c r="AP14" s="1446"/>
      <c r="AQ14" s="1447"/>
    </row>
    <row r="15" spans="1:45" ht="23.25" customHeight="1">
      <c r="A15" s="1448" t="s">
        <v>934</v>
      </c>
      <c r="B15" s="1449"/>
      <c r="C15" s="1449"/>
      <c r="D15" s="1449"/>
      <c r="E15" s="1449"/>
      <c r="F15" s="1449"/>
      <c r="G15" s="1449"/>
      <c r="H15" s="1449"/>
      <c r="I15" s="1449"/>
      <c r="J15" s="1449"/>
      <c r="K15" s="1449"/>
      <c r="L15" s="1449"/>
      <c r="M15" s="1449"/>
      <c r="N15" s="1449"/>
      <c r="O15" s="1449"/>
      <c r="P15" s="1449"/>
      <c r="Q15" s="1449"/>
      <c r="R15" s="1449"/>
      <c r="S15" s="1449"/>
      <c r="T15" s="1449"/>
      <c r="U15" s="1449"/>
      <c r="V15" s="1449"/>
      <c r="W15" s="1449"/>
      <c r="X15" s="1449"/>
      <c r="Y15" s="1450"/>
      <c r="Z15" s="1457" t="s">
        <v>935</v>
      </c>
      <c r="AA15" s="1460" t="s">
        <v>1142</v>
      </c>
      <c r="AB15" s="1460" t="s">
        <v>936</v>
      </c>
      <c r="AC15" s="1460" t="s">
        <v>937</v>
      </c>
      <c r="AD15" s="1461" t="s">
        <v>938</v>
      </c>
      <c r="AE15" s="1462"/>
      <c r="AF15" s="1461" t="s">
        <v>939</v>
      </c>
      <c r="AG15" s="1462"/>
      <c r="AH15" s="1461" t="s">
        <v>940</v>
      </c>
      <c r="AI15" s="1467"/>
      <c r="AJ15" s="1477"/>
      <c r="AK15" s="1478"/>
      <c r="AL15" s="1478"/>
      <c r="AM15" s="1478"/>
      <c r="AN15" s="1478"/>
      <c r="AO15" s="1478"/>
      <c r="AP15" s="1478"/>
      <c r="AQ15" s="1479"/>
    </row>
    <row r="16" spans="1:45" ht="11.25" customHeight="1">
      <c r="A16" s="1451"/>
      <c r="B16" s="1452"/>
      <c r="C16" s="1452"/>
      <c r="D16" s="1452"/>
      <c r="E16" s="1452"/>
      <c r="F16" s="1452"/>
      <c r="G16" s="1452"/>
      <c r="H16" s="1452"/>
      <c r="I16" s="1452"/>
      <c r="J16" s="1452"/>
      <c r="K16" s="1452"/>
      <c r="L16" s="1452"/>
      <c r="M16" s="1452"/>
      <c r="N16" s="1452"/>
      <c r="O16" s="1452"/>
      <c r="P16" s="1452"/>
      <c r="Q16" s="1452"/>
      <c r="R16" s="1452"/>
      <c r="S16" s="1452"/>
      <c r="T16" s="1452"/>
      <c r="U16" s="1452"/>
      <c r="V16" s="1452"/>
      <c r="W16" s="1452"/>
      <c r="X16" s="1452"/>
      <c r="Y16" s="1453"/>
      <c r="Z16" s="1457"/>
      <c r="AA16" s="1460"/>
      <c r="AB16" s="1460"/>
      <c r="AC16" s="1460"/>
      <c r="AD16" s="1461"/>
      <c r="AE16" s="1462"/>
      <c r="AF16" s="1461"/>
      <c r="AG16" s="1462"/>
      <c r="AH16" s="1461"/>
      <c r="AI16" s="1467"/>
      <c r="AJ16" s="1480"/>
      <c r="AK16" s="1481"/>
      <c r="AL16" s="1481"/>
      <c r="AM16" s="1481"/>
      <c r="AN16" s="1481"/>
      <c r="AO16" s="1481"/>
      <c r="AP16" s="1481"/>
      <c r="AQ16" s="1482"/>
    </row>
    <row r="17" spans="1:43" ht="18" customHeight="1">
      <c r="A17" s="1451"/>
      <c r="B17" s="1452"/>
      <c r="C17" s="1452"/>
      <c r="D17" s="1452"/>
      <c r="E17" s="1452"/>
      <c r="F17" s="1452"/>
      <c r="G17" s="1452"/>
      <c r="H17" s="1452"/>
      <c r="I17" s="1452"/>
      <c r="J17" s="1452"/>
      <c r="K17" s="1452"/>
      <c r="L17" s="1452"/>
      <c r="M17" s="1452"/>
      <c r="N17" s="1452"/>
      <c r="O17" s="1452"/>
      <c r="P17" s="1452"/>
      <c r="Q17" s="1452"/>
      <c r="R17" s="1452"/>
      <c r="S17" s="1452"/>
      <c r="T17" s="1452"/>
      <c r="U17" s="1452"/>
      <c r="V17" s="1452"/>
      <c r="W17" s="1452"/>
      <c r="X17" s="1452"/>
      <c r="Y17" s="1453"/>
      <c r="Z17" s="1457"/>
      <c r="AA17" s="1460"/>
      <c r="AB17" s="1460"/>
      <c r="AC17" s="1460"/>
      <c r="AD17" s="1461"/>
      <c r="AE17" s="1462"/>
      <c r="AF17" s="1461"/>
      <c r="AG17" s="1462"/>
      <c r="AH17" s="1461"/>
      <c r="AI17" s="1467"/>
      <c r="AJ17" s="1480"/>
      <c r="AK17" s="1481"/>
      <c r="AL17" s="1481"/>
      <c r="AM17" s="1481"/>
      <c r="AN17" s="1481"/>
      <c r="AO17" s="1481"/>
      <c r="AP17" s="1481"/>
      <c r="AQ17" s="1482"/>
    </row>
    <row r="18" spans="1:43" ht="13.5" customHeight="1">
      <c r="A18" s="1451"/>
      <c r="B18" s="1452"/>
      <c r="C18" s="1452"/>
      <c r="D18" s="1452"/>
      <c r="E18" s="1452"/>
      <c r="F18" s="1452"/>
      <c r="G18" s="1452"/>
      <c r="H18" s="1452"/>
      <c r="I18" s="1452"/>
      <c r="J18" s="1452"/>
      <c r="K18" s="1452"/>
      <c r="L18" s="1452"/>
      <c r="M18" s="1452"/>
      <c r="N18" s="1452"/>
      <c r="O18" s="1452"/>
      <c r="P18" s="1452"/>
      <c r="Q18" s="1452"/>
      <c r="R18" s="1452"/>
      <c r="S18" s="1452"/>
      <c r="T18" s="1452"/>
      <c r="U18" s="1452"/>
      <c r="V18" s="1452"/>
      <c r="W18" s="1452"/>
      <c r="X18" s="1452"/>
      <c r="Y18" s="1453"/>
      <c r="Z18" s="1457"/>
      <c r="AA18" s="1460"/>
      <c r="AB18" s="1460"/>
      <c r="AC18" s="1460"/>
      <c r="AD18" s="1461"/>
      <c r="AE18" s="1462"/>
      <c r="AF18" s="1461"/>
      <c r="AG18" s="1462"/>
      <c r="AH18" s="1461"/>
      <c r="AI18" s="1467"/>
      <c r="AJ18" s="1480"/>
      <c r="AK18" s="1481"/>
      <c r="AL18" s="1481"/>
      <c r="AM18" s="1481"/>
      <c r="AN18" s="1481"/>
      <c r="AO18" s="1481"/>
      <c r="AP18" s="1481"/>
      <c r="AQ18" s="1482"/>
    </row>
    <row r="19" spans="1:43" ht="3.75" customHeight="1">
      <c r="A19" s="1451"/>
      <c r="B19" s="1452"/>
      <c r="C19" s="1452"/>
      <c r="D19" s="1452"/>
      <c r="E19" s="1452"/>
      <c r="F19" s="1452"/>
      <c r="G19" s="1452"/>
      <c r="H19" s="1452"/>
      <c r="I19" s="1452"/>
      <c r="J19" s="1452"/>
      <c r="K19" s="1452"/>
      <c r="L19" s="1452"/>
      <c r="M19" s="1452"/>
      <c r="N19" s="1452"/>
      <c r="O19" s="1452"/>
      <c r="P19" s="1452"/>
      <c r="Q19" s="1452"/>
      <c r="R19" s="1452"/>
      <c r="S19" s="1452"/>
      <c r="T19" s="1452"/>
      <c r="U19" s="1452"/>
      <c r="V19" s="1452"/>
      <c r="W19" s="1452"/>
      <c r="X19" s="1452"/>
      <c r="Y19" s="1453"/>
      <c r="Z19" s="1457"/>
      <c r="AA19" s="1460"/>
      <c r="AB19" s="1460"/>
      <c r="AC19" s="1460"/>
      <c r="AD19" s="1461"/>
      <c r="AE19" s="1462"/>
      <c r="AF19" s="1461"/>
      <c r="AG19" s="1462"/>
      <c r="AH19" s="1461"/>
      <c r="AI19" s="1467"/>
      <c r="AJ19" s="1480"/>
      <c r="AK19" s="1481"/>
      <c r="AL19" s="1481"/>
      <c r="AM19" s="1481"/>
      <c r="AN19" s="1481"/>
      <c r="AO19" s="1481"/>
      <c r="AP19" s="1481"/>
      <c r="AQ19" s="1482"/>
    </row>
    <row r="20" spans="1:43" ht="18" customHeight="1">
      <c r="A20" s="1451"/>
      <c r="B20" s="1452"/>
      <c r="C20" s="1452"/>
      <c r="D20" s="1452"/>
      <c r="E20" s="1452"/>
      <c r="F20" s="1452"/>
      <c r="G20" s="1452"/>
      <c r="H20" s="1452"/>
      <c r="I20" s="1452"/>
      <c r="J20" s="1452"/>
      <c r="K20" s="1452"/>
      <c r="L20" s="1452"/>
      <c r="M20" s="1452"/>
      <c r="N20" s="1452"/>
      <c r="O20" s="1452"/>
      <c r="P20" s="1452"/>
      <c r="Q20" s="1452"/>
      <c r="R20" s="1452"/>
      <c r="S20" s="1452"/>
      <c r="T20" s="1452"/>
      <c r="U20" s="1452"/>
      <c r="V20" s="1452"/>
      <c r="W20" s="1452"/>
      <c r="X20" s="1452"/>
      <c r="Y20" s="1453"/>
      <c r="Z20" s="1457"/>
      <c r="AA20" s="1460"/>
      <c r="AB20" s="1460"/>
      <c r="AC20" s="1460"/>
      <c r="AD20" s="1461"/>
      <c r="AE20" s="1462"/>
      <c r="AF20" s="1461"/>
      <c r="AG20" s="1462"/>
      <c r="AH20" s="1461"/>
      <c r="AI20" s="1467"/>
      <c r="AJ20" s="1480"/>
      <c r="AK20" s="1481"/>
      <c r="AL20" s="1481"/>
      <c r="AM20" s="1481"/>
      <c r="AN20" s="1481"/>
      <c r="AO20" s="1481"/>
      <c r="AP20" s="1481"/>
      <c r="AQ20" s="1482"/>
    </row>
    <row r="21" spans="1:43" ht="18" customHeight="1">
      <c r="A21" s="1454"/>
      <c r="B21" s="1455"/>
      <c r="C21" s="1455"/>
      <c r="D21" s="1455"/>
      <c r="E21" s="1455"/>
      <c r="F21" s="1455"/>
      <c r="G21" s="1455"/>
      <c r="H21" s="1455"/>
      <c r="I21" s="1455"/>
      <c r="J21" s="1455"/>
      <c r="K21" s="1455"/>
      <c r="L21" s="1455"/>
      <c r="M21" s="1455"/>
      <c r="N21" s="1455"/>
      <c r="O21" s="1455"/>
      <c r="P21" s="1455"/>
      <c r="Q21" s="1455"/>
      <c r="R21" s="1455"/>
      <c r="S21" s="1455"/>
      <c r="T21" s="1455"/>
      <c r="U21" s="1455"/>
      <c r="V21" s="1455"/>
      <c r="W21" s="1455"/>
      <c r="X21" s="1455"/>
      <c r="Y21" s="1456"/>
      <c r="Z21" s="1458"/>
      <c r="AA21" s="1458"/>
      <c r="AB21" s="1458"/>
      <c r="AC21" s="1458"/>
      <c r="AD21" s="1463"/>
      <c r="AE21" s="1464"/>
      <c r="AF21" s="1463"/>
      <c r="AG21" s="1464"/>
      <c r="AH21" s="1463"/>
      <c r="AI21" s="1468"/>
      <c r="AJ21" s="1480"/>
      <c r="AK21" s="1481"/>
      <c r="AL21" s="1481"/>
      <c r="AM21" s="1481"/>
      <c r="AN21" s="1481"/>
      <c r="AO21" s="1481"/>
      <c r="AP21" s="1481"/>
      <c r="AQ21" s="1482"/>
    </row>
    <row r="22" spans="1:43" ht="18" hidden="1" customHeight="1">
      <c r="A22" s="471"/>
      <c r="Z22" s="1458"/>
      <c r="AA22" s="1458"/>
      <c r="AB22" s="1458"/>
      <c r="AC22" s="1458"/>
      <c r="AD22" s="1463"/>
      <c r="AE22" s="1464"/>
      <c r="AF22" s="1463"/>
      <c r="AG22" s="1464"/>
      <c r="AH22" s="1463"/>
      <c r="AI22" s="1468"/>
      <c r="AJ22" s="1480"/>
      <c r="AK22" s="1481"/>
      <c r="AL22" s="1481"/>
      <c r="AM22" s="1481"/>
      <c r="AN22" s="1481"/>
      <c r="AO22" s="1481"/>
      <c r="AP22" s="1481"/>
      <c r="AQ22" s="1482"/>
    </row>
    <row r="23" spans="1:43" ht="33" customHeight="1">
      <c r="A23" s="1486"/>
      <c r="B23" s="1487"/>
      <c r="C23" s="1487"/>
      <c r="D23" s="1488"/>
      <c r="E23" s="1489" t="s">
        <v>941</v>
      </c>
      <c r="F23" s="1490"/>
      <c r="G23" s="1490"/>
      <c r="H23" s="1490"/>
      <c r="I23" s="1490"/>
      <c r="J23" s="1490"/>
      <c r="K23" s="1490"/>
      <c r="L23" s="1490"/>
      <c r="M23" s="1490"/>
      <c r="N23" s="1490"/>
      <c r="O23" s="1490"/>
      <c r="P23" s="1490"/>
      <c r="Q23" s="1491"/>
      <c r="R23" s="1492" t="s">
        <v>942</v>
      </c>
      <c r="S23" s="1493"/>
      <c r="T23" s="1493"/>
      <c r="U23" s="1494"/>
      <c r="V23" s="1495" t="s">
        <v>943</v>
      </c>
      <c r="W23" s="1496"/>
      <c r="X23" s="1496"/>
      <c r="Y23" s="1497"/>
      <c r="Z23" s="1459"/>
      <c r="AA23" s="1459"/>
      <c r="AB23" s="1459"/>
      <c r="AC23" s="1459"/>
      <c r="AD23" s="1465"/>
      <c r="AE23" s="1466"/>
      <c r="AF23" s="1465"/>
      <c r="AG23" s="1466"/>
      <c r="AH23" s="1465"/>
      <c r="AI23" s="1469"/>
      <c r="AJ23" s="1483"/>
      <c r="AK23" s="1484"/>
      <c r="AL23" s="1484"/>
      <c r="AM23" s="1484"/>
      <c r="AN23" s="1484"/>
      <c r="AO23" s="1484"/>
      <c r="AP23" s="1484"/>
      <c r="AQ23" s="1485"/>
    </row>
    <row r="24" spans="1:43" ht="15" customHeight="1">
      <c r="A24" s="496"/>
      <c r="B24" s="497"/>
      <c r="C24" s="497"/>
      <c r="D24" s="498"/>
      <c r="E24" s="1470"/>
      <c r="F24" s="1474"/>
      <c r="G24" s="1474"/>
      <c r="H24" s="1474"/>
      <c r="I24" s="1474"/>
      <c r="J24" s="1474"/>
      <c r="K24" s="1474"/>
      <c r="L24" s="1474"/>
      <c r="M24" s="1474"/>
      <c r="N24" s="1474"/>
      <c r="O24" s="1474"/>
      <c r="P24" s="1474"/>
      <c r="Q24" s="1471"/>
      <c r="R24" s="1498"/>
      <c r="S24" s="1474"/>
      <c r="T24" s="1474"/>
      <c r="U24" s="1471"/>
      <c r="V24" s="1499"/>
      <c r="W24" s="1474"/>
      <c r="X24" s="1474"/>
      <c r="Y24" s="1471"/>
      <c r="Z24" s="1500"/>
      <c r="AA24" s="1500"/>
      <c r="AB24" s="1500"/>
      <c r="AC24" s="1500"/>
      <c r="AD24" s="1470"/>
      <c r="AE24" s="1471"/>
      <c r="AF24" s="1470"/>
      <c r="AG24" s="1471"/>
      <c r="AH24" s="1470"/>
      <c r="AI24" s="1471"/>
      <c r="AJ24" s="1470"/>
      <c r="AK24" s="1474"/>
      <c r="AL24" s="1474"/>
      <c r="AM24" s="1474"/>
      <c r="AN24" s="1474"/>
      <c r="AO24" s="1474"/>
      <c r="AP24" s="1474"/>
      <c r="AQ24" s="1475"/>
    </row>
    <row r="25" spans="1:43" ht="21.75" customHeight="1">
      <c r="A25" s="496"/>
      <c r="B25" s="497"/>
      <c r="C25" s="497"/>
      <c r="D25" s="498"/>
      <c r="E25" s="1472"/>
      <c r="F25" s="1423"/>
      <c r="G25" s="1423"/>
      <c r="H25" s="1423"/>
      <c r="I25" s="1423"/>
      <c r="J25" s="1423"/>
      <c r="K25" s="1423"/>
      <c r="L25" s="1423"/>
      <c r="M25" s="1423"/>
      <c r="N25" s="1423"/>
      <c r="O25" s="1423"/>
      <c r="P25" s="1423"/>
      <c r="Q25" s="1473"/>
      <c r="R25" s="1472"/>
      <c r="S25" s="1423"/>
      <c r="T25" s="1423"/>
      <c r="U25" s="1473"/>
      <c r="V25" s="1472"/>
      <c r="W25" s="1423"/>
      <c r="X25" s="1423"/>
      <c r="Y25" s="1473"/>
      <c r="Z25" s="1501"/>
      <c r="AA25" s="1501"/>
      <c r="AB25" s="1501"/>
      <c r="AC25" s="1501"/>
      <c r="AD25" s="1472"/>
      <c r="AE25" s="1473"/>
      <c r="AF25" s="1472"/>
      <c r="AG25" s="1473"/>
      <c r="AH25" s="1472"/>
      <c r="AI25" s="1473"/>
      <c r="AJ25" s="1472"/>
      <c r="AK25" s="1423"/>
      <c r="AL25" s="1423"/>
      <c r="AM25" s="1423"/>
      <c r="AN25" s="1423"/>
      <c r="AO25" s="1423"/>
      <c r="AP25" s="1423"/>
      <c r="AQ25" s="1476"/>
    </row>
    <row r="26" spans="1:43" ht="9.75" customHeight="1">
      <c r="A26" s="499"/>
      <c r="B26" s="500"/>
      <c r="C26" s="500"/>
      <c r="D26" s="501"/>
      <c r="E26" s="1503"/>
      <c r="F26" s="1504"/>
      <c r="G26" s="1504"/>
      <c r="H26" s="1504"/>
      <c r="I26" s="1504"/>
      <c r="J26" s="1504"/>
      <c r="K26" s="1504"/>
      <c r="L26" s="1504"/>
      <c r="M26" s="1504"/>
      <c r="N26" s="1504"/>
      <c r="O26" s="1504"/>
      <c r="P26" s="1504"/>
      <c r="Q26" s="1505"/>
      <c r="R26" s="1503"/>
      <c r="S26" s="1504"/>
      <c r="T26" s="1504"/>
      <c r="U26" s="1505"/>
      <c r="V26" s="1503"/>
      <c r="W26" s="1504"/>
      <c r="X26" s="1504"/>
      <c r="Y26" s="1505"/>
      <c r="Z26" s="1512"/>
      <c r="AA26" s="1500"/>
      <c r="AB26" s="1500"/>
      <c r="AC26" s="1500"/>
      <c r="AD26" s="1470"/>
      <c r="AE26" s="1471"/>
      <c r="AF26" s="1470"/>
      <c r="AG26" s="1471"/>
      <c r="AH26" s="1503"/>
      <c r="AI26" s="1505"/>
      <c r="AJ26" s="1470"/>
      <c r="AK26" s="1474"/>
      <c r="AL26" s="1474"/>
      <c r="AM26" s="1474"/>
      <c r="AN26" s="1474"/>
      <c r="AO26" s="1474"/>
      <c r="AP26" s="1474"/>
      <c r="AQ26" s="1475"/>
    </row>
    <row r="27" spans="1:43" ht="14.1" customHeight="1">
      <c r="A27" s="496"/>
      <c r="B27" s="497"/>
      <c r="C27" s="497"/>
      <c r="D27" s="498"/>
      <c r="E27" s="1506"/>
      <c r="F27" s="1507"/>
      <c r="G27" s="1507"/>
      <c r="H27" s="1507"/>
      <c r="I27" s="1507"/>
      <c r="J27" s="1507"/>
      <c r="K27" s="1507"/>
      <c r="L27" s="1507"/>
      <c r="M27" s="1507"/>
      <c r="N27" s="1507"/>
      <c r="O27" s="1507"/>
      <c r="P27" s="1507"/>
      <c r="Q27" s="1508"/>
      <c r="R27" s="1506"/>
      <c r="S27" s="1507"/>
      <c r="T27" s="1507"/>
      <c r="U27" s="1508"/>
      <c r="V27" s="1506"/>
      <c r="W27" s="1507"/>
      <c r="X27" s="1507"/>
      <c r="Y27" s="1508"/>
      <c r="Z27" s="1513"/>
      <c r="AA27" s="1502"/>
      <c r="AB27" s="1502"/>
      <c r="AC27" s="1502"/>
      <c r="AD27" s="1515"/>
      <c r="AE27" s="1518"/>
      <c r="AF27" s="1515"/>
      <c r="AG27" s="1518"/>
      <c r="AH27" s="1506"/>
      <c r="AI27" s="1508"/>
      <c r="AJ27" s="1515"/>
      <c r="AK27" s="1516"/>
      <c r="AL27" s="1516"/>
      <c r="AM27" s="1516"/>
      <c r="AN27" s="1516"/>
      <c r="AO27" s="1516"/>
      <c r="AP27" s="1516"/>
      <c r="AQ27" s="1517"/>
    </row>
    <row r="28" spans="1:43" ht="14.25" customHeight="1">
      <c r="A28" s="502"/>
      <c r="B28" s="503"/>
      <c r="C28" s="503"/>
      <c r="D28" s="504"/>
      <c r="E28" s="1509"/>
      <c r="F28" s="1510"/>
      <c r="G28" s="1510"/>
      <c r="H28" s="1510"/>
      <c r="I28" s="1510"/>
      <c r="J28" s="1510"/>
      <c r="K28" s="1510"/>
      <c r="L28" s="1510"/>
      <c r="M28" s="1510"/>
      <c r="N28" s="1510"/>
      <c r="O28" s="1510"/>
      <c r="P28" s="1510"/>
      <c r="Q28" s="1511"/>
      <c r="R28" s="1509"/>
      <c r="S28" s="1510"/>
      <c r="T28" s="1510"/>
      <c r="U28" s="1511"/>
      <c r="V28" s="1509"/>
      <c r="W28" s="1510"/>
      <c r="X28" s="1510"/>
      <c r="Y28" s="1511"/>
      <c r="Z28" s="1514"/>
      <c r="AA28" s="1502"/>
      <c r="AB28" s="1502"/>
      <c r="AC28" s="1502"/>
      <c r="AD28" s="1472"/>
      <c r="AE28" s="1473"/>
      <c r="AF28" s="1472"/>
      <c r="AG28" s="1473"/>
      <c r="AH28" s="1509"/>
      <c r="AI28" s="1511"/>
      <c r="AJ28" s="1472"/>
      <c r="AK28" s="1423"/>
      <c r="AL28" s="1423"/>
      <c r="AM28" s="1423"/>
      <c r="AN28" s="1423"/>
      <c r="AO28" s="1423"/>
      <c r="AP28" s="1423"/>
      <c r="AQ28" s="1476"/>
    </row>
    <row r="29" spans="1:43" ht="12" customHeight="1">
      <c r="A29" s="499"/>
      <c r="B29" s="500"/>
      <c r="C29" s="500"/>
      <c r="D29" s="501"/>
      <c r="E29" s="1503"/>
      <c r="F29" s="1504"/>
      <c r="G29" s="1504"/>
      <c r="H29" s="1504"/>
      <c r="I29" s="1504"/>
      <c r="J29" s="1504"/>
      <c r="K29" s="1504"/>
      <c r="L29" s="1504"/>
      <c r="M29" s="1504"/>
      <c r="N29" s="1504"/>
      <c r="O29" s="1504"/>
      <c r="P29" s="1504"/>
      <c r="Q29" s="1505"/>
      <c r="R29" s="1503"/>
      <c r="S29" s="1504"/>
      <c r="T29" s="1504"/>
      <c r="U29" s="1505"/>
      <c r="V29" s="1503"/>
      <c r="W29" s="1504"/>
      <c r="X29" s="1504"/>
      <c r="Y29" s="1505"/>
      <c r="Z29" s="1512"/>
      <c r="AA29" s="1500"/>
      <c r="AB29" s="1500"/>
      <c r="AC29" s="1500"/>
      <c r="AD29" s="1470"/>
      <c r="AE29" s="1471"/>
      <c r="AF29" s="1470"/>
      <c r="AG29" s="1471"/>
      <c r="AH29" s="1470"/>
      <c r="AI29" s="1471"/>
      <c r="AJ29" s="1470"/>
      <c r="AK29" s="1474"/>
      <c r="AL29" s="1474"/>
      <c r="AM29" s="1474"/>
      <c r="AN29" s="1474"/>
      <c r="AO29" s="1474"/>
      <c r="AP29" s="1474"/>
      <c r="AQ29" s="1475"/>
    </row>
    <row r="30" spans="1:43" ht="14.1" customHeight="1">
      <c r="A30" s="496"/>
      <c r="B30" s="497"/>
      <c r="C30" s="497"/>
      <c r="D30" s="498"/>
      <c r="E30" s="1506"/>
      <c r="F30" s="1507"/>
      <c r="G30" s="1507"/>
      <c r="H30" s="1507"/>
      <c r="I30" s="1507"/>
      <c r="J30" s="1507"/>
      <c r="K30" s="1507"/>
      <c r="L30" s="1507"/>
      <c r="M30" s="1507"/>
      <c r="N30" s="1507"/>
      <c r="O30" s="1507"/>
      <c r="P30" s="1507"/>
      <c r="Q30" s="1508"/>
      <c r="R30" s="1506"/>
      <c r="S30" s="1507"/>
      <c r="T30" s="1507"/>
      <c r="U30" s="1508"/>
      <c r="V30" s="1506"/>
      <c r="W30" s="1507"/>
      <c r="X30" s="1507"/>
      <c r="Y30" s="1508"/>
      <c r="Z30" s="1502"/>
      <c r="AA30" s="1502"/>
      <c r="AB30" s="1502"/>
      <c r="AC30" s="1502"/>
      <c r="AD30" s="1515"/>
      <c r="AE30" s="1518"/>
      <c r="AF30" s="1515"/>
      <c r="AG30" s="1518"/>
      <c r="AH30" s="1515"/>
      <c r="AI30" s="1518"/>
      <c r="AJ30" s="1515"/>
      <c r="AK30" s="1516"/>
      <c r="AL30" s="1516"/>
      <c r="AM30" s="1516"/>
      <c r="AN30" s="1516"/>
      <c r="AO30" s="1516"/>
      <c r="AP30" s="1516"/>
      <c r="AQ30" s="1517"/>
    </row>
    <row r="31" spans="1:43" ht="14.1" customHeight="1">
      <c r="A31" s="502"/>
      <c r="B31" s="503"/>
      <c r="C31" s="503"/>
      <c r="D31" s="504"/>
      <c r="E31" s="1509"/>
      <c r="F31" s="1510"/>
      <c r="G31" s="1510"/>
      <c r="H31" s="1510"/>
      <c r="I31" s="1510"/>
      <c r="J31" s="1510"/>
      <c r="K31" s="1510"/>
      <c r="L31" s="1510"/>
      <c r="M31" s="1510"/>
      <c r="N31" s="1510"/>
      <c r="O31" s="1510"/>
      <c r="P31" s="1510"/>
      <c r="Q31" s="1511"/>
      <c r="R31" s="1509"/>
      <c r="S31" s="1510"/>
      <c r="T31" s="1510"/>
      <c r="U31" s="1511"/>
      <c r="V31" s="1509"/>
      <c r="W31" s="1510"/>
      <c r="X31" s="1510"/>
      <c r="Y31" s="1511"/>
      <c r="Z31" s="1501"/>
      <c r="AA31" s="1501"/>
      <c r="AB31" s="1501"/>
      <c r="AC31" s="1501"/>
      <c r="AD31" s="1472"/>
      <c r="AE31" s="1473"/>
      <c r="AF31" s="1472"/>
      <c r="AG31" s="1473"/>
      <c r="AH31" s="1472"/>
      <c r="AI31" s="1473"/>
      <c r="AJ31" s="1472"/>
      <c r="AK31" s="1423"/>
      <c r="AL31" s="1423"/>
      <c r="AM31" s="1423"/>
      <c r="AN31" s="1423"/>
      <c r="AO31" s="1423"/>
      <c r="AP31" s="1423"/>
      <c r="AQ31" s="1476"/>
    </row>
    <row r="32" spans="1:43" ht="18.75" customHeight="1">
      <c r="A32" s="505" t="s">
        <v>816</v>
      </c>
      <c r="B32" s="506"/>
      <c r="C32" s="506"/>
      <c r="D32" s="506"/>
      <c r="E32" s="506"/>
      <c r="F32" s="506"/>
      <c r="G32" s="506"/>
      <c r="H32" s="506"/>
      <c r="I32" s="506"/>
      <c r="J32" s="506"/>
      <c r="K32" s="506"/>
      <c r="L32" s="506"/>
      <c r="M32" s="506"/>
      <c r="N32" s="507" t="s">
        <v>11</v>
      </c>
      <c r="O32" s="506"/>
      <c r="P32" s="506"/>
      <c r="Q32" s="508"/>
      <c r="R32" s="488" t="s">
        <v>12</v>
      </c>
      <c r="S32" s="509"/>
      <c r="T32" s="509"/>
      <c r="U32" s="510"/>
      <c r="V32" s="506" t="s">
        <v>815</v>
      </c>
      <c r="W32" s="506"/>
      <c r="X32" s="506"/>
      <c r="Y32" s="506"/>
      <c r="Z32" s="506"/>
      <c r="AA32" s="506"/>
      <c r="AB32" s="506"/>
      <c r="AC32" s="506"/>
      <c r="AD32" s="506"/>
      <c r="AE32" s="506"/>
      <c r="AF32" s="506"/>
      <c r="AG32" s="506"/>
      <c r="AH32" s="506"/>
      <c r="AI32" s="508"/>
      <c r="AJ32" s="488" t="s">
        <v>11</v>
      </c>
      <c r="AK32" s="509"/>
      <c r="AL32" s="509"/>
      <c r="AM32" s="510"/>
      <c r="AN32" s="488" t="s">
        <v>12</v>
      </c>
      <c r="AO32" s="509"/>
      <c r="AP32" s="509"/>
      <c r="AQ32" s="511"/>
    </row>
    <row r="33" spans="1:43" ht="34.5" customHeight="1">
      <c r="A33" s="512"/>
      <c r="B33" s="490"/>
      <c r="C33" s="490"/>
      <c r="D33" s="490"/>
      <c r="E33" s="490"/>
      <c r="F33" s="490"/>
      <c r="G33" s="490"/>
      <c r="H33" s="490"/>
      <c r="I33" s="490"/>
      <c r="J33" s="490"/>
      <c r="K33" s="490"/>
      <c r="L33" s="490"/>
      <c r="M33" s="490"/>
      <c r="N33" s="513"/>
      <c r="O33" s="490"/>
      <c r="P33" s="490"/>
      <c r="Q33" s="514"/>
      <c r="R33" s="513"/>
      <c r="S33" s="490"/>
      <c r="T33" s="490"/>
      <c r="U33" s="514"/>
      <c r="V33" s="475"/>
      <c r="W33" s="475"/>
      <c r="X33" s="475"/>
      <c r="Y33" s="475"/>
      <c r="Z33" s="475"/>
      <c r="AA33" s="475"/>
      <c r="AB33" s="475"/>
      <c r="AC33" s="475"/>
      <c r="AD33" s="475"/>
      <c r="AE33" s="475"/>
      <c r="AF33" s="475"/>
      <c r="AG33" s="475"/>
      <c r="AH33" s="475"/>
      <c r="AI33" s="515"/>
      <c r="AJ33" s="516"/>
      <c r="AK33" s="475"/>
      <c r="AL33" s="475"/>
      <c r="AM33" s="515"/>
      <c r="AN33" s="475"/>
      <c r="AO33" s="475"/>
      <c r="AP33" s="475"/>
      <c r="AQ33" s="517"/>
    </row>
    <row r="34" spans="1:43" ht="13.5" hidden="1" customHeight="1">
      <c r="A34" s="471"/>
      <c r="N34" s="518"/>
      <c r="Q34" s="519"/>
      <c r="R34" s="518"/>
      <c r="U34" s="519"/>
      <c r="V34" s="480"/>
      <c r="W34" s="480"/>
      <c r="X34" s="480"/>
      <c r="Y34" s="480"/>
      <c r="Z34" s="480"/>
      <c r="AA34" s="480"/>
      <c r="AB34" s="480"/>
      <c r="AC34" s="480"/>
      <c r="AD34" s="480"/>
      <c r="AE34" s="480"/>
      <c r="AF34" s="480"/>
      <c r="AG34" s="480"/>
      <c r="AH34" s="480"/>
      <c r="AI34" s="483"/>
      <c r="AJ34" s="482"/>
      <c r="AK34" s="480"/>
      <c r="AL34" s="480"/>
      <c r="AM34" s="483"/>
      <c r="AN34" s="480"/>
      <c r="AO34" s="480"/>
      <c r="AP34" s="480"/>
      <c r="AQ34" s="520"/>
    </row>
    <row r="35" spans="1:43" ht="14.1" customHeight="1" thickBot="1">
      <c r="A35" s="521"/>
      <c r="B35" s="495"/>
      <c r="C35" s="495"/>
      <c r="D35" s="495"/>
      <c r="E35" s="495"/>
      <c r="F35" s="495"/>
      <c r="G35" s="495"/>
      <c r="H35" s="495"/>
      <c r="I35" s="495"/>
      <c r="J35" s="495"/>
      <c r="K35" s="495"/>
      <c r="L35" s="495"/>
      <c r="M35" s="495"/>
      <c r="N35" s="518"/>
      <c r="Q35" s="519"/>
      <c r="R35" s="518"/>
      <c r="U35" s="519"/>
      <c r="V35" s="480"/>
      <c r="W35" s="480"/>
      <c r="X35" s="480"/>
      <c r="Y35" s="480"/>
      <c r="Z35" s="480"/>
      <c r="AA35" s="480"/>
      <c r="AB35" s="480"/>
      <c r="AC35" s="480"/>
      <c r="AD35" s="480"/>
      <c r="AE35" s="480"/>
      <c r="AF35" s="480"/>
      <c r="AG35" s="486"/>
      <c r="AH35" s="486"/>
      <c r="AI35" s="487"/>
      <c r="AJ35" s="485"/>
      <c r="AK35" s="486"/>
      <c r="AL35" s="486"/>
      <c r="AM35" s="487"/>
      <c r="AN35" s="486"/>
      <c r="AO35" s="486"/>
      <c r="AP35" s="486"/>
      <c r="AQ35" s="522"/>
    </row>
    <row r="36" spans="1:43" ht="14.1" customHeight="1">
      <c r="A36" s="1572" t="s">
        <v>814</v>
      </c>
      <c r="B36" s="1573"/>
      <c r="C36" s="1573"/>
      <c r="D36" s="1573"/>
      <c r="E36" s="1573"/>
      <c r="F36" s="1573"/>
      <c r="G36" s="1573"/>
      <c r="H36" s="1573"/>
      <c r="I36" s="1573"/>
      <c r="J36" s="1573"/>
      <c r="K36" s="1573"/>
      <c r="L36" s="1573"/>
      <c r="M36" s="1573"/>
      <c r="N36" s="1575" t="s">
        <v>785</v>
      </c>
      <c r="O36" s="1568" t="s">
        <v>812</v>
      </c>
      <c r="P36" s="1569"/>
      <c r="Q36" s="1566" t="s">
        <v>785</v>
      </c>
      <c r="R36" s="1568" t="s">
        <v>811</v>
      </c>
      <c r="S36" s="1569"/>
      <c r="T36" s="1569"/>
      <c r="U36" s="1569"/>
      <c r="V36" s="1569"/>
      <c r="W36" s="1566" t="s">
        <v>785</v>
      </c>
      <c r="X36" s="1568" t="s">
        <v>810</v>
      </c>
      <c r="Y36" s="1569"/>
      <c r="Z36" s="1569"/>
      <c r="AA36" s="1569"/>
      <c r="AB36" s="1569"/>
      <c r="AC36" s="1569"/>
      <c r="AD36" s="1569"/>
      <c r="AE36" s="1569"/>
      <c r="AF36" s="1570"/>
      <c r="AG36" s="1568" t="s">
        <v>809</v>
      </c>
      <c r="AH36" s="1569"/>
      <c r="AI36" s="1569"/>
      <c r="AJ36" s="1569"/>
      <c r="AK36" s="1569"/>
      <c r="AL36" s="1569"/>
      <c r="AM36" s="1569"/>
      <c r="AN36" s="1569"/>
      <c r="AO36" s="1569"/>
      <c r="AP36" s="1569"/>
      <c r="AQ36" s="1570"/>
    </row>
    <row r="37" spans="1:43" ht="14.1" customHeight="1" thickBot="1">
      <c r="A37" s="1574"/>
      <c r="B37" s="1567"/>
      <c r="C37" s="1567"/>
      <c r="D37" s="1567"/>
      <c r="E37" s="1567"/>
      <c r="F37" s="1567"/>
      <c r="G37" s="1567"/>
      <c r="H37" s="1567"/>
      <c r="I37" s="1567"/>
      <c r="J37" s="1567"/>
      <c r="K37" s="1567"/>
      <c r="L37" s="1567"/>
      <c r="M37" s="1567"/>
      <c r="N37" s="1574"/>
      <c r="O37" s="1567"/>
      <c r="P37" s="1567"/>
      <c r="Q37" s="1567"/>
      <c r="R37" s="1567"/>
      <c r="S37" s="1567"/>
      <c r="T37" s="1567"/>
      <c r="U37" s="1567"/>
      <c r="V37" s="1567"/>
      <c r="W37" s="1567"/>
      <c r="X37" s="1567"/>
      <c r="Y37" s="1567"/>
      <c r="Z37" s="1567"/>
      <c r="AA37" s="1567"/>
      <c r="AB37" s="1567"/>
      <c r="AC37" s="1567"/>
      <c r="AD37" s="1567"/>
      <c r="AE37" s="1567"/>
      <c r="AF37" s="1571"/>
      <c r="AG37" s="1567"/>
      <c r="AH37" s="1567"/>
      <c r="AI37" s="1567"/>
      <c r="AJ37" s="1567"/>
      <c r="AK37" s="1567"/>
      <c r="AL37" s="1567"/>
      <c r="AM37" s="1567"/>
      <c r="AN37" s="1567"/>
      <c r="AO37" s="1567"/>
      <c r="AP37" s="1567"/>
      <c r="AQ37" s="1571"/>
    </row>
    <row r="38" spans="1:43" ht="14.1" customHeight="1">
      <c r="A38" s="561" t="s">
        <v>944</v>
      </c>
      <c r="B38" s="523"/>
      <c r="C38" s="523"/>
      <c r="D38" s="523"/>
      <c r="E38" s="523"/>
      <c r="F38" s="523"/>
      <c r="G38" s="523"/>
      <c r="H38" s="523"/>
      <c r="I38" s="523"/>
      <c r="J38" s="523"/>
      <c r="K38" s="523"/>
      <c r="L38" s="523"/>
      <c r="M38" s="523"/>
      <c r="N38" s="523"/>
      <c r="O38" s="255"/>
      <c r="P38" s="523"/>
      <c r="Q38" s="523"/>
      <c r="R38" s="523"/>
      <c r="S38" s="523"/>
      <c r="T38" s="523"/>
      <c r="U38" s="523"/>
      <c r="V38" s="523"/>
      <c r="W38" s="523"/>
      <c r="X38" s="523"/>
      <c r="Y38" s="523"/>
      <c r="Z38" s="523"/>
      <c r="AA38" s="523"/>
      <c r="AB38" s="523"/>
      <c r="AC38" s="523"/>
      <c r="AD38" s="523"/>
      <c r="AE38" s="523"/>
      <c r="AF38" s="523"/>
      <c r="AG38" s="523"/>
      <c r="AH38" s="523"/>
      <c r="AI38" s="523"/>
      <c r="AJ38" s="523"/>
      <c r="AK38" s="523"/>
      <c r="AL38" s="523"/>
      <c r="AM38" s="523"/>
      <c r="AN38" s="523"/>
      <c r="AO38" s="523"/>
      <c r="AP38" s="523"/>
      <c r="AQ38" s="524"/>
    </row>
    <row r="39" spans="1:43" ht="19.5" customHeight="1">
      <c r="A39" s="525"/>
      <c r="B39" s="556"/>
      <c r="C39" s="556"/>
      <c r="D39" s="556"/>
      <c r="E39" s="556"/>
      <c r="F39" s="556"/>
      <c r="G39" s="556"/>
      <c r="H39" s="556"/>
      <c r="I39" s="556"/>
      <c r="J39" s="556"/>
      <c r="K39" s="556"/>
      <c r="L39" s="556"/>
      <c r="M39" s="556"/>
      <c r="N39" s="556"/>
      <c r="O39" s="556"/>
      <c r="P39" s="556"/>
      <c r="Q39" s="556"/>
      <c r="R39" s="556"/>
      <c r="S39" s="556"/>
      <c r="T39" s="556"/>
      <c r="U39" s="556"/>
      <c r="V39" s="556"/>
      <c r="W39" s="556"/>
      <c r="X39" s="556"/>
      <c r="Y39" s="556"/>
      <c r="Z39" s="556"/>
      <c r="AA39" s="556"/>
      <c r="AB39" s="556"/>
      <c r="AC39" s="556"/>
      <c r="AD39" s="556"/>
      <c r="AE39" s="556"/>
      <c r="AF39" s="556"/>
      <c r="AG39" s="556"/>
      <c r="AH39" s="556"/>
      <c r="AI39" s="556"/>
      <c r="AJ39" s="556"/>
      <c r="AK39" s="556"/>
      <c r="AL39" s="556"/>
      <c r="AM39" s="556"/>
      <c r="AN39" s="556"/>
      <c r="AO39" s="556"/>
      <c r="AP39" s="556"/>
      <c r="AQ39" s="558"/>
    </row>
    <row r="40" spans="1:43" s="255" customFormat="1" ht="19.899999999999999" customHeight="1" thickBot="1">
      <c r="A40" s="526"/>
      <c r="B40" s="527"/>
      <c r="C40" s="527"/>
      <c r="D40" s="527"/>
      <c r="E40" s="527"/>
      <c r="F40" s="527"/>
      <c r="G40" s="527"/>
      <c r="H40" s="527"/>
      <c r="I40" s="527"/>
      <c r="J40" s="527"/>
      <c r="K40" s="527"/>
      <c r="L40" s="527"/>
      <c r="M40" s="527"/>
      <c r="N40" s="527"/>
      <c r="O40" s="527"/>
      <c r="P40" s="527"/>
      <c r="Q40" s="527"/>
      <c r="R40" s="527"/>
      <c r="S40" s="527"/>
      <c r="T40" s="527"/>
      <c r="U40" s="527"/>
      <c r="V40" s="527"/>
      <c r="W40" s="527"/>
      <c r="X40" s="527"/>
      <c r="Y40" s="527"/>
      <c r="Z40" s="527"/>
      <c r="AA40" s="527"/>
      <c r="AB40" s="527"/>
      <c r="AC40" s="527"/>
      <c r="AD40" s="527"/>
      <c r="AE40" s="527"/>
      <c r="AF40" s="527"/>
      <c r="AG40" s="527"/>
      <c r="AH40" s="527"/>
      <c r="AI40" s="527"/>
      <c r="AJ40" s="527"/>
      <c r="AK40" s="527"/>
      <c r="AL40" s="527"/>
      <c r="AM40" s="527"/>
      <c r="AN40" s="527"/>
      <c r="AO40" s="527"/>
      <c r="AP40" s="527"/>
      <c r="AQ40" s="528"/>
    </row>
    <row r="41" spans="1:43" s="255" customFormat="1" ht="19.899999999999999" customHeight="1">
      <c r="A41" s="1519" t="s">
        <v>945</v>
      </c>
      <c r="B41" s="1520"/>
      <c r="C41" s="1520"/>
      <c r="D41" s="1520"/>
      <c r="E41" s="1520"/>
      <c r="F41" s="1520"/>
      <c r="G41" s="1520"/>
      <c r="H41" s="1520"/>
      <c r="I41" s="1520"/>
      <c r="J41" s="1520"/>
      <c r="K41" s="1520"/>
      <c r="L41" s="1520"/>
      <c r="M41" s="1520"/>
      <c r="N41" s="1520"/>
      <c r="O41" s="1520"/>
      <c r="P41" s="1520"/>
      <c r="Q41" s="1520"/>
      <c r="R41" s="1520"/>
      <c r="S41" s="1520"/>
      <c r="T41" s="1520"/>
      <c r="U41" s="1520"/>
      <c r="V41" s="1520"/>
      <c r="W41" s="1520"/>
      <c r="X41" s="1520"/>
      <c r="Y41" s="1520"/>
      <c r="Z41" s="1520"/>
      <c r="AA41" s="1520"/>
      <c r="AB41" s="1520"/>
      <c r="AC41" s="1520"/>
      <c r="AD41" s="1520"/>
      <c r="AE41" s="1520"/>
      <c r="AF41" s="1520"/>
      <c r="AG41" s="1520"/>
      <c r="AH41" s="1520"/>
      <c r="AI41" s="1520"/>
      <c r="AJ41" s="1520"/>
      <c r="AK41" s="1520"/>
      <c r="AL41" s="1520"/>
      <c r="AM41" s="1520"/>
      <c r="AN41" s="1520"/>
      <c r="AO41" s="1520"/>
      <c r="AP41" s="1520"/>
      <c r="AQ41" s="1521"/>
    </row>
    <row r="42" spans="1:43" s="255" customFormat="1" ht="19.899999999999999" customHeight="1">
      <c r="A42" s="1522"/>
      <c r="B42" s="1516"/>
      <c r="C42" s="1516"/>
      <c r="D42" s="1516"/>
      <c r="E42" s="1516"/>
      <c r="F42" s="1516"/>
      <c r="G42" s="1516"/>
      <c r="H42" s="1516"/>
      <c r="I42" s="1516"/>
      <c r="J42" s="1516"/>
      <c r="K42" s="1516"/>
      <c r="L42" s="1516"/>
      <c r="M42" s="1516"/>
      <c r="N42" s="1516"/>
      <c r="O42" s="1516"/>
      <c r="P42" s="1516"/>
      <c r="Q42" s="1516"/>
      <c r="R42" s="1516"/>
      <c r="S42" s="1516"/>
      <c r="T42" s="1516"/>
      <c r="U42" s="1516"/>
      <c r="V42" s="1516"/>
      <c r="W42" s="1516"/>
      <c r="X42" s="1516"/>
      <c r="Y42" s="1516"/>
      <c r="Z42" s="1516"/>
      <c r="AA42" s="1516"/>
      <c r="AB42" s="1516"/>
      <c r="AC42" s="1516"/>
      <c r="AD42" s="1516"/>
      <c r="AE42" s="1516"/>
      <c r="AF42" s="1516"/>
      <c r="AG42" s="1516"/>
      <c r="AH42" s="1516"/>
      <c r="AI42" s="1516"/>
      <c r="AJ42" s="1516"/>
      <c r="AK42" s="1516"/>
      <c r="AL42" s="1516"/>
      <c r="AM42" s="1516"/>
      <c r="AN42" s="1516"/>
      <c r="AO42" s="1516"/>
      <c r="AP42" s="1516"/>
      <c r="AQ42" s="1517"/>
    </row>
    <row r="43" spans="1:43" ht="19.899999999999999" customHeight="1">
      <c r="A43" s="512"/>
      <c r="B43" s="490"/>
      <c r="C43" s="490"/>
      <c r="D43" s="490"/>
      <c r="E43" s="490"/>
      <c r="F43" s="490"/>
      <c r="G43" s="490"/>
      <c r="H43" s="490"/>
      <c r="I43" s="490"/>
      <c r="J43" s="490"/>
      <c r="K43" s="490"/>
      <c r="L43" s="490"/>
      <c r="M43" s="490"/>
      <c r="N43" s="490"/>
      <c r="O43" s="490"/>
      <c r="P43" s="490"/>
      <c r="Q43" s="490"/>
      <c r="R43" s="490" t="s">
        <v>946</v>
      </c>
      <c r="S43" s="490" t="s">
        <v>947</v>
      </c>
      <c r="T43" s="490"/>
      <c r="U43" s="490" t="s">
        <v>126</v>
      </c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562"/>
    </row>
    <row r="44" spans="1:43" ht="22.5" customHeight="1">
      <c r="A44" s="266" t="s">
        <v>799</v>
      </c>
      <c r="B44" s="255"/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65" t="s">
        <v>785</v>
      </c>
      <c r="S44" s="265" t="s">
        <v>785</v>
      </c>
      <c r="T44" s="265"/>
      <c r="U44" s="265" t="s">
        <v>785</v>
      </c>
      <c r="V44" s="255"/>
      <c r="W44" s="255"/>
      <c r="X44" s="255"/>
      <c r="Y44" s="255"/>
      <c r="Z44" s="255"/>
      <c r="AA44" s="1523" t="s">
        <v>948</v>
      </c>
      <c r="AB44" s="1523"/>
      <c r="AC44" s="265" t="s">
        <v>785</v>
      </c>
      <c r="AD44" s="255" t="s">
        <v>801</v>
      </c>
      <c r="AF44" s="265" t="s">
        <v>785</v>
      </c>
      <c r="AG44" s="255" t="s">
        <v>800</v>
      </c>
      <c r="AJ44" s="265" t="s">
        <v>785</v>
      </c>
      <c r="AK44" s="255" t="s">
        <v>949</v>
      </c>
      <c r="AQ44" s="484"/>
    </row>
    <row r="45" spans="1:43" ht="12.95" customHeight="1">
      <c r="A45" s="266" t="s">
        <v>796</v>
      </c>
      <c r="B45" s="255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65" t="s">
        <v>785</v>
      </c>
      <c r="S45" s="265" t="s">
        <v>785</v>
      </c>
      <c r="T45" s="265"/>
      <c r="U45" s="265" t="s">
        <v>785</v>
      </c>
      <c r="V45" s="255"/>
      <c r="W45" s="255"/>
      <c r="X45" s="255"/>
      <c r="Y45" s="255"/>
      <c r="Z45" s="255"/>
      <c r="AA45" s="255"/>
      <c r="AB45" s="255"/>
      <c r="AC45" s="255"/>
      <c r="AD45" s="255"/>
      <c r="AG45" s="255"/>
      <c r="AH45" s="255"/>
      <c r="AL45" s="265"/>
      <c r="AM45" s="255"/>
      <c r="AO45" s="255"/>
      <c r="AP45" s="255"/>
      <c r="AQ45" s="267"/>
    </row>
    <row r="46" spans="1:43" ht="14.25" customHeight="1">
      <c r="A46" s="1524" t="s">
        <v>950</v>
      </c>
      <c r="B46" s="1525"/>
      <c r="C46" s="1525"/>
      <c r="D46" s="1525"/>
      <c r="E46" s="1525"/>
      <c r="F46" s="1525"/>
      <c r="G46" s="1525"/>
      <c r="H46" s="1525"/>
      <c r="I46" s="1525"/>
      <c r="J46" s="1525"/>
      <c r="K46" s="1525"/>
      <c r="L46" s="1525"/>
      <c r="M46" s="1525"/>
      <c r="N46" s="1525"/>
      <c r="O46" s="1525"/>
      <c r="P46" s="1525"/>
      <c r="Q46" s="1525"/>
      <c r="R46" s="1527" t="s">
        <v>785</v>
      </c>
      <c r="S46" s="1527" t="s">
        <v>785</v>
      </c>
      <c r="T46" s="255"/>
      <c r="U46" s="1527" t="s">
        <v>785</v>
      </c>
      <c r="V46" s="255"/>
      <c r="W46" s="255"/>
      <c r="X46" s="255"/>
      <c r="Y46" s="255"/>
      <c r="Z46" s="255"/>
      <c r="AA46" s="255"/>
      <c r="AB46" s="255"/>
      <c r="AC46" s="255"/>
      <c r="AD46" s="255"/>
      <c r="AG46" s="255"/>
      <c r="AH46" s="255"/>
      <c r="AL46" s="265"/>
      <c r="AM46" s="255"/>
      <c r="AN46" s="255"/>
      <c r="AO46" s="268"/>
      <c r="AP46" s="255"/>
      <c r="AQ46" s="563"/>
    </row>
    <row r="47" spans="1:43" ht="16.5" customHeight="1">
      <c r="A47" s="1526"/>
      <c r="B47" s="1525"/>
      <c r="C47" s="1525"/>
      <c r="D47" s="1525"/>
      <c r="E47" s="1525"/>
      <c r="F47" s="1525"/>
      <c r="G47" s="1525"/>
      <c r="H47" s="1525"/>
      <c r="I47" s="1525"/>
      <c r="J47" s="1525"/>
      <c r="K47" s="1525"/>
      <c r="L47" s="1525"/>
      <c r="M47" s="1525"/>
      <c r="N47" s="1525"/>
      <c r="O47" s="1525"/>
      <c r="P47" s="1525"/>
      <c r="Q47" s="1525"/>
      <c r="R47" s="1528"/>
      <c r="S47" s="1528"/>
      <c r="T47" s="265"/>
      <c r="U47" s="1528"/>
      <c r="V47" s="255"/>
      <c r="W47" s="255"/>
      <c r="X47" s="255"/>
      <c r="Y47" s="255"/>
      <c r="Z47" s="255"/>
      <c r="AA47" s="271" t="s">
        <v>951</v>
      </c>
      <c r="AB47" s="255"/>
      <c r="AC47" s="255"/>
      <c r="AD47" s="255"/>
      <c r="AE47" s="255"/>
      <c r="AF47" s="255"/>
      <c r="AG47" s="255"/>
      <c r="AH47" s="265"/>
      <c r="AI47" s="255"/>
      <c r="AJ47" s="255"/>
      <c r="AK47" s="268"/>
      <c r="AN47" s="255"/>
      <c r="AO47" s="268"/>
      <c r="AP47" s="255"/>
      <c r="AQ47" s="563"/>
    </row>
    <row r="48" spans="1:43" s="277" customFormat="1" ht="25.5" customHeight="1">
      <c r="A48" s="1529" t="s">
        <v>952</v>
      </c>
      <c r="B48" s="1530"/>
      <c r="C48" s="1530"/>
      <c r="D48" s="1530"/>
      <c r="E48" s="1530"/>
      <c r="F48" s="1530"/>
      <c r="G48" s="1530"/>
      <c r="H48" s="1530"/>
      <c r="I48" s="1530"/>
      <c r="J48" s="1530"/>
      <c r="K48" s="1530"/>
      <c r="L48" s="1530"/>
      <c r="M48" s="1530"/>
      <c r="N48" s="1530"/>
      <c r="O48" s="1530"/>
      <c r="P48" s="1530"/>
      <c r="Q48" s="1530"/>
      <c r="R48" s="464" t="s">
        <v>785</v>
      </c>
      <c r="S48" s="464" t="s">
        <v>785</v>
      </c>
      <c r="U48" s="464" t="s">
        <v>785</v>
      </c>
      <c r="AQ48" s="564"/>
    </row>
    <row r="49" spans="1:43" s="277" customFormat="1" ht="29.25" customHeight="1">
      <c r="A49" s="1531" t="s">
        <v>953</v>
      </c>
      <c r="B49" s="1532"/>
      <c r="C49" s="1532"/>
      <c r="D49" s="1532"/>
      <c r="E49" s="1532"/>
      <c r="F49" s="1532"/>
      <c r="G49" s="1532"/>
      <c r="H49" s="1532"/>
      <c r="I49" s="1532"/>
      <c r="J49" s="1532"/>
      <c r="K49" s="1532"/>
      <c r="L49" s="1532"/>
      <c r="M49" s="1532"/>
      <c r="N49" s="1532"/>
      <c r="O49" s="1532"/>
      <c r="P49" s="1532"/>
      <c r="Q49" s="1532"/>
      <c r="R49" s="1532"/>
      <c r="S49" s="1532"/>
      <c r="T49" s="1532"/>
      <c r="U49" s="1532"/>
      <c r="V49" s="1532"/>
      <c r="W49" s="1532"/>
      <c r="X49" s="1532"/>
      <c r="Y49" s="1532"/>
      <c r="Z49" s="1532"/>
      <c r="AA49" s="1532"/>
      <c r="AB49" s="1532"/>
      <c r="AC49" s="1532"/>
      <c r="AD49" s="1532"/>
      <c r="AE49" s="1532"/>
      <c r="AF49" s="1532"/>
      <c r="AG49" s="1532"/>
      <c r="AH49" s="1532"/>
      <c r="AI49" s="1532"/>
      <c r="AJ49" s="1532"/>
      <c r="AK49" s="1532"/>
      <c r="AL49" s="1532"/>
      <c r="AM49" s="1532"/>
      <c r="AN49" s="1532"/>
      <c r="AO49" s="1532"/>
      <c r="AP49" s="1532"/>
      <c r="AQ49" s="1533"/>
    </row>
    <row r="50" spans="1:43" s="255" customFormat="1" ht="24.75" customHeight="1">
      <c r="A50" s="1534" t="s">
        <v>861</v>
      </c>
      <c r="B50" s="1535"/>
      <c r="C50" s="1535"/>
      <c r="D50" s="1535"/>
      <c r="E50" s="1535"/>
      <c r="F50" s="1536"/>
      <c r="G50" s="529"/>
      <c r="H50" s="556"/>
      <c r="I50" s="556"/>
      <c r="J50" s="556"/>
      <c r="K50" s="556"/>
      <c r="L50" s="556"/>
      <c r="M50" s="556"/>
      <c r="N50" s="556"/>
      <c r="O50" s="556"/>
      <c r="P50" s="556"/>
      <c r="Q50" s="556"/>
      <c r="R50" s="530" t="s">
        <v>853</v>
      </c>
      <c r="S50" s="559"/>
      <c r="T50" s="559"/>
      <c r="U50" s="559"/>
      <c r="V50" s="531"/>
      <c r="W50" s="1537"/>
      <c r="X50" s="1538"/>
      <c r="Y50" s="1538"/>
      <c r="Z50" s="1538"/>
      <c r="AA50" s="1538"/>
      <c r="AB50" s="1538"/>
      <c r="AC50" s="1538"/>
      <c r="AD50" s="1538"/>
      <c r="AE50" s="1538"/>
      <c r="AF50" s="1538"/>
      <c r="AG50" s="1538"/>
      <c r="AH50" s="1538"/>
      <c r="AI50" s="1538"/>
      <c r="AJ50" s="1538"/>
      <c r="AK50" s="1538"/>
      <c r="AL50" s="1538"/>
      <c r="AM50" s="1538"/>
      <c r="AN50" s="1538"/>
      <c r="AO50" s="1538"/>
      <c r="AP50" s="1538"/>
      <c r="AQ50" s="1539"/>
    </row>
    <row r="51" spans="1:43" s="255" customFormat="1" ht="25.5" customHeight="1">
      <c r="A51" s="1540" t="s">
        <v>954</v>
      </c>
      <c r="B51" s="1541"/>
      <c r="C51" s="1541"/>
      <c r="D51" s="1541"/>
      <c r="E51" s="1541"/>
      <c r="F51" s="1542"/>
      <c r="G51" s="553"/>
      <c r="H51" s="554"/>
      <c r="I51" s="554"/>
      <c r="J51" s="554"/>
      <c r="K51" s="554"/>
      <c r="L51" s="554"/>
      <c r="M51" s="554"/>
      <c r="N51" s="554"/>
      <c r="O51" s="554"/>
      <c r="P51" s="554"/>
      <c r="Q51" s="554"/>
      <c r="R51" s="532" t="s">
        <v>853</v>
      </c>
      <c r="S51" s="533"/>
      <c r="T51" s="533"/>
      <c r="U51" s="533"/>
      <c r="V51" s="534"/>
      <c r="W51" s="1543"/>
      <c r="X51" s="1425"/>
      <c r="Y51" s="1425"/>
      <c r="Z51" s="1425"/>
      <c r="AA51" s="1425"/>
      <c r="AB51" s="1425"/>
      <c r="AC51" s="1425"/>
      <c r="AD51" s="1425"/>
      <c r="AE51" s="1425"/>
      <c r="AF51" s="1425"/>
      <c r="AG51" s="1425"/>
      <c r="AH51" s="1425"/>
      <c r="AI51" s="1425"/>
      <c r="AJ51" s="1425"/>
      <c r="AK51" s="1425"/>
      <c r="AL51" s="1425"/>
      <c r="AM51" s="1425"/>
      <c r="AN51" s="1425"/>
      <c r="AO51" s="1425"/>
      <c r="AP51" s="1425"/>
      <c r="AQ51" s="1544"/>
    </row>
    <row r="52" spans="1:43" s="255" customFormat="1" ht="15" customHeight="1">
      <c r="A52" s="1553" t="s">
        <v>955</v>
      </c>
      <c r="B52" s="1430"/>
      <c r="C52" s="1554"/>
      <c r="D52" s="552"/>
      <c r="E52" s="1559" t="s">
        <v>956</v>
      </c>
      <c r="F52" s="1430"/>
      <c r="G52" s="1430"/>
      <c r="H52" s="1430"/>
      <c r="I52" s="1554"/>
      <c r="J52" s="552"/>
      <c r="K52" s="552"/>
      <c r="L52" s="552"/>
      <c r="M52" s="552"/>
      <c r="N52" s="552"/>
      <c r="O52" s="552"/>
      <c r="P52" s="552"/>
      <c r="Q52" s="552"/>
      <c r="R52" s="1546" t="s">
        <v>849</v>
      </c>
      <c r="S52" s="1430"/>
      <c r="T52" s="1430"/>
      <c r="U52" s="1430"/>
      <c r="V52" s="1554"/>
      <c r="W52" s="1563"/>
      <c r="X52" s="1430"/>
      <c r="Y52" s="1430"/>
      <c r="Z52" s="1430"/>
      <c r="AA52" s="1430"/>
      <c r="AB52" s="1430"/>
      <c r="AC52" s="1430"/>
      <c r="AD52" s="1430"/>
      <c r="AE52" s="1554"/>
      <c r="AF52" s="535"/>
      <c r="AG52" s="536"/>
      <c r="AH52" s="537"/>
      <c r="AI52" s="1563"/>
      <c r="AJ52" s="1430"/>
      <c r="AK52" s="1430"/>
      <c r="AL52" s="1554"/>
      <c r="AM52" s="535"/>
      <c r="AN52" s="536"/>
      <c r="AO52" s="536"/>
      <c r="AP52" s="536"/>
      <c r="AQ52" s="565"/>
    </row>
    <row r="53" spans="1:43" s="255" customFormat="1" ht="15.75" customHeight="1">
      <c r="A53" s="1555"/>
      <c r="B53" s="1538"/>
      <c r="C53" s="1556"/>
      <c r="D53" s="554"/>
      <c r="E53" s="1560"/>
      <c r="F53" s="1561"/>
      <c r="G53" s="1561"/>
      <c r="H53" s="1561"/>
      <c r="I53" s="1562"/>
      <c r="J53" s="554"/>
      <c r="K53" s="554"/>
      <c r="L53" s="554"/>
      <c r="M53" s="554"/>
      <c r="N53" s="554"/>
      <c r="O53" s="554"/>
      <c r="P53" s="554"/>
      <c r="Q53" s="554"/>
      <c r="R53" s="1537"/>
      <c r="S53" s="1538"/>
      <c r="T53" s="1538"/>
      <c r="U53" s="1538"/>
      <c r="V53" s="1556"/>
      <c r="W53" s="1537"/>
      <c r="X53" s="1538"/>
      <c r="Y53" s="1538"/>
      <c r="Z53" s="1538"/>
      <c r="AA53" s="1538"/>
      <c r="AB53" s="1538"/>
      <c r="AC53" s="1538"/>
      <c r="AD53" s="1538"/>
      <c r="AE53" s="1556"/>
      <c r="AF53" s="538"/>
      <c r="AG53" s="559"/>
      <c r="AH53" s="531"/>
      <c r="AI53" s="1537"/>
      <c r="AJ53" s="1538"/>
      <c r="AK53" s="1538"/>
      <c r="AL53" s="1556"/>
      <c r="AM53" s="538"/>
      <c r="AN53" s="559"/>
      <c r="AO53" s="559"/>
      <c r="AP53" s="559"/>
      <c r="AQ53" s="566"/>
    </row>
    <row r="54" spans="1:43" s="255" customFormat="1" ht="13.5" customHeight="1">
      <c r="A54" s="1555"/>
      <c r="B54" s="1538"/>
      <c r="C54" s="1556"/>
      <c r="D54" s="539"/>
      <c r="E54" s="1564" t="s">
        <v>957</v>
      </c>
      <c r="F54" s="1430"/>
      <c r="G54" s="1430"/>
      <c r="H54" s="1430"/>
      <c r="I54" s="1554"/>
      <c r="J54" s="540"/>
      <c r="K54" s="552"/>
      <c r="L54" s="552"/>
      <c r="M54" s="552"/>
      <c r="N54" s="552"/>
      <c r="O54" s="552"/>
      <c r="P54" s="552"/>
      <c r="Q54" s="552"/>
      <c r="R54" s="1537"/>
      <c r="S54" s="1538"/>
      <c r="T54" s="1538"/>
      <c r="U54" s="1538"/>
      <c r="V54" s="1556"/>
      <c r="W54" s="1537"/>
      <c r="X54" s="1538"/>
      <c r="Y54" s="1538"/>
      <c r="Z54" s="1538"/>
      <c r="AA54" s="1538"/>
      <c r="AB54" s="1538"/>
      <c r="AC54" s="1538"/>
      <c r="AD54" s="1538"/>
      <c r="AE54" s="1556"/>
      <c r="AF54" s="553"/>
      <c r="AG54" s="554"/>
      <c r="AH54" s="557"/>
      <c r="AI54" s="1560"/>
      <c r="AJ54" s="1561"/>
      <c r="AK54" s="1561"/>
      <c r="AL54" s="1562"/>
      <c r="AM54" s="541"/>
      <c r="AN54" s="542"/>
      <c r="AO54" s="542"/>
      <c r="AP54" s="542"/>
      <c r="AQ54" s="567"/>
    </row>
    <row r="55" spans="1:43" s="255" customFormat="1" ht="12.75" customHeight="1">
      <c r="A55" s="1555"/>
      <c r="B55" s="1538"/>
      <c r="C55" s="1556"/>
      <c r="D55" s="560" t="s">
        <v>956</v>
      </c>
      <c r="E55" s="1561"/>
      <c r="F55" s="1561"/>
      <c r="G55" s="1561"/>
      <c r="H55" s="1561"/>
      <c r="I55" s="1562"/>
      <c r="J55" s="555"/>
      <c r="K55" s="556"/>
      <c r="L55" s="556"/>
      <c r="M55" s="556"/>
      <c r="N55" s="556"/>
      <c r="O55" s="556"/>
      <c r="P55" s="556"/>
      <c r="Q55" s="556"/>
      <c r="R55" s="1560"/>
      <c r="S55" s="1561"/>
      <c r="T55" s="1561"/>
      <c r="U55" s="1561"/>
      <c r="V55" s="1562"/>
      <c r="W55" s="1560"/>
      <c r="X55" s="1561"/>
      <c r="Y55" s="1561"/>
      <c r="Z55" s="1561"/>
      <c r="AA55" s="1561"/>
      <c r="AB55" s="1561"/>
      <c r="AC55" s="1561"/>
      <c r="AD55" s="1561"/>
      <c r="AE55" s="1562"/>
      <c r="AF55" s="1472" t="s">
        <v>872</v>
      </c>
      <c r="AG55" s="1423"/>
      <c r="AH55" s="1473"/>
      <c r="AI55" s="1565" t="s">
        <v>11</v>
      </c>
      <c r="AJ55" s="1510"/>
      <c r="AK55" s="1510"/>
      <c r="AL55" s="1562"/>
      <c r="AM55" s="1545" t="s">
        <v>12</v>
      </c>
      <c r="AN55" s="1426"/>
      <c r="AO55" s="1426"/>
      <c r="AP55" s="1426"/>
      <c r="AQ55" s="1432"/>
    </row>
    <row r="56" spans="1:43" s="255" customFormat="1" ht="15" customHeight="1">
      <c r="A56" s="1555"/>
      <c r="B56" s="1538"/>
      <c r="C56" s="1556"/>
      <c r="D56" s="489" t="s">
        <v>958</v>
      </c>
      <c r="E56" s="1546" t="s">
        <v>959</v>
      </c>
      <c r="F56" s="1430"/>
      <c r="G56" s="1430"/>
      <c r="H56" s="1430"/>
      <c r="I56" s="1430"/>
      <c r="J56" s="543"/>
      <c r="K56" s="544"/>
      <c r="L56" s="544"/>
      <c r="M56" s="544"/>
      <c r="N56" s="544"/>
      <c r="O56" s="544"/>
      <c r="P56" s="544"/>
      <c r="Q56" s="545"/>
      <c r="R56" s="1549" t="s">
        <v>960</v>
      </c>
      <c r="S56" s="1525"/>
      <c r="T56" s="1525"/>
      <c r="U56" s="1525"/>
      <c r="V56" s="1525"/>
      <c r="W56" s="1525"/>
      <c r="X56" s="1525"/>
      <c r="Y56" s="1525"/>
      <c r="Z56" s="1525"/>
      <c r="AA56" s="1525"/>
      <c r="AB56" s="1525"/>
      <c r="AC56" s="1525"/>
      <c r="AD56" s="1525"/>
      <c r="AE56" s="1525"/>
      <c r="AF56" s="1525"/>
      <c r="AG56" s="1525"/>
      <c r="AH56" s="1525"/>
      <c r="AI56" s="1525"/>
      <c r="AJ56" s="1525"/>
      <c r="AK56" s="1525"/>
      <c r="AL56" s="1525"/>
      <c r="AM56" s="1525"/>
      <c r="AN56" s="1525"/>
      <c r="AO56" s="1525"/>
      <c r="AP56" s="1525"/>
      <c r="AQ56" s="1550"/>
    </row>
    <row r="57" spans="1:43" s="255" customFormat="1" ht="15" customHeight="1" thickBot="1">
      <c r="A57" s="1557"/>
      <c r="B57" s="1548"/>
      <c r="C57" s="1558"/>
      <c r="D57" s="546" t="s">
        <v>854</v>
      </c>
      <c r="E57" s="1547"/>
      <c r="F57" s="1548"/>
      <c r="G57" s="1548"/>
      <c r="H57" s="1548"/>
      <c r="I57" s="1548"/>
      <c r="J57" s="568"/>
      <c r="K57" s="569"/>
      <c r="L57" s="569"/>
      <c r="M57" s="569"/>
      <c r="N57" s="569"/>
      <c r="O57" s="569"/>
      <c r="P57" s="569"/>
      <c r="Q57" s="570"/>
      <c r="R57" s="1551"/>
      <c r="S57" s="1551"/>
      <c r="T57" s="1551"/>
      <c r="U57" s="1551"/>
      <c r="V57" s="1551"/>
      <c r="W57" s="1551"/>
      <c r="X57" s="1551"/>
      <c r="Y57" s="1551"/>
      <c r="Z57" s="1551"/>
      <c r="AA57" s="1551"/>
      <c r="AB57" s="1551"/>
      <c r="AC57" s="1551"/>
      <c r="AD57" s="1551"/>
      <c r="AE57" s="1551"/>
      <c r="AF57" s="1551"/>
      <c r="AG57" s="1551"/>
      <c r="AH57" s="1551"/>
      <c r="AI57" s="1551"/>
      <c r="AJ57" s="1551"/>
      <c r="AK57" s="1551"/>
      <c r="AL57" s="1551"/>
      <c r="AM57" s="1551"/>
      <c r="AN57" s="1551"/>
      <c r="AO57" s="1551"/>
      <c r="AP57" s="1551"/>
      <c r="AQ57" s="1552"/>
    </row>
    <row r="58" spans="1:43" s="255" customFormat="1" ht="28.5" customHeight="1">
      <c r="A58" s="365"/>
      <c r="B58" s="365"/>
      <c r="C58" s="365"/>
      <c r="D58" s="365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65"/>
      <c r="Y58" s="365"/>
      <c r="Z58" s="365"/>
      <c r="AA58" s="365"/>
      <c r="AB58" s="365"/>
      <c r="AC58" s="365"/>
      <c r="AD58" s="365"/>
      <c r="AE58" s="365"/>
      <c r="AF58" s="365"/>
      <c r="AG58" s="365"/>
      <c r="AH58" s="365"/>
      <c r="AI58" s="365"/>
      <c r="AJ58" s="365"/>
      <c r="AK58" s="365"/>
      <c r="AL58" s="365"/>
      <c r="AM58" s="365"/>
      <c r="AN58" s="365"/>
      <c r="AO58" s="365"/>
      <c r="AP58" s="365"/>
      <c r="AQ58" s="365"/>
    </row>
    <row r="59" spans="1:43" s="255" customFormat="1" ht="18" customHeight="1">
      <c r="A59" s="365"/>
      <c r="B59" s="365"/>
      <c r="C59" s="365"/>
      <c r="D59" s="365"/>
      <c r="E59" s="365"/>
      <c r="F59" s="365"/>
      <c r="G59" s="365"/>
      <c r="H59" s="365"/>
      <c r="I59" s="365"/>
      <c r="J59" s="365"/>
      <c r="K59" s="365"/>
      <c r="L59" s="365"/>
      <c r="M59" s="365"/>
      <c r="N59" s="365"/>
      <c r="O59" s="365"/>
      <c r="P59" s="365"/>
      <c r="Q59" s="365"/>
      <c r="R59" s="365"/>
      <c r="S59" s="365"/>
      <c r="T59" s="365"/>
      <c r="U59" s="365"/>
      <c r="V59" s="365"/>
      <c r="W59" s="365"/>
      <c r="X59" s="365"/>
      <c r="Y59" s="365"/>
      <c r="Z59" s="365"/>
      <c r="AA59" s="365"/>
      <c r="AB59" s="365"/>
      <c r="AC59" s="365"/>
      <c r="AD59" s="365"/>
      <c r="AE59" s="365"/>
      <c r="AF59" s="365"/>
      <c r="AG59" s="365"/>
      <c r="AH59" s="365"/>
      <c r="AI59" s="365"/>
      <c r="AJ59" s="365"/>
      <c r="AK59" s="365"/>
      <c r="AL59" s="365"/>
      <c r="AM59" s="365"/>
      <c r="AN59" s="365"/>
      <c r="AO59" s="365"/>
      <c r="AP59" s="365"/>
      <c r="AQ59" s="365"/>
    </row>
  </sheetData>
  <mergeCells count="99">
    <mergeCell ref="W36:W37"/>
    <mergeCell ref="X36:AF37"/>
    <mergeCell ref="AG36:AQ37"/>
    <mergeCell ref="A36:M37"/>
    <mergeCell ref="N36:N37"/>
    <mergeCell ref="O36:P37"/>
    <mergeCell ref="Q36:Q37"/>
    <mergeCell ref="R36:V37"/>
    <mergeCell ref="AM55:AQ55"/>
    <mergeCell ref="E56:I57"/>
    <mergeCell ref="R56:AQ57"/>
    <mergeCell ref="A52:C57"/>
    <mergeCell ref="E52:I53"/>
    <mergeCell ref="R52:V55"/>
    <mergeCell ref="W52:AE55"/>
    <mergeCell ref="AI52:AL54"/>
    <mergeCell ref="E54:I55"/>
    <mergeCell ref="AF55:AH55"/>
    <mergeCell ref="AI55:AL55"/>
    <mergeCell ref="A48:Q48"/>
    <mergeCell ref="A49:AQ49"/>
    <mergeCell ref="A50:F50"/>
    <mergeCell ref="W50:AQ50"/>
    <mergeCell ref="A51:F51"/>
    <mergeCell ref="W51:AQ51"/>
    <mergeCell ref="A41:AQ42"/>
    <mergeCell ref="AA44:AB44"/>
    <mergeCell ref="A46:Q47"/>
    <mergeCell ref="R46:R47"/>
    <mergeCell ref="S46:S47"/>
    <mergeCell ref="U46:U47"/>
    <mergeCell ref="AB29:AB31"/>
    <mergeCell ref="AC29:AC31"/>
    <mergeCell ref="AD29:AE31"/>
    <mergeCell ref="AF29:AG31"/>
    <mergeCell ref="AH29:AI31"/>
    <mergeCell ref="AJ29:AQ31"/>
    <mergeCell ref="AC26:AC28"/>
    <mergeCell ref="AD26:AE28"/>
    <mergeCell ref="AF26:AG28"/>
    <mergeCell ref="AH26:AI28"/>
    <mergeCell ref="AJ26:AQ28"/>
    <mergeCell ref="E29:Q31"/>
    <mergeCell ref="R29:U31"/>
    <mergeCell ref="V29:Y31"/>
    <mergeCell ref="Z29:Z31"/>
    <mergeCell ref="AA29:AA31"/>
    <mergeCell ref="E26:Q28"/>
    <mergeCell ref="R26:U28"/>
    <mergeCell ref="V26:Y28"/>
    <mergeCell ref="Z26:Z28"/>
    <mergeCell ref="AA26:AA28"/>
    <mergeCell ref="AB26:AB28"/>
    <mergeCell ref="AB24:AB25"/>
    <mergeCell ref="AC24:AC25"/>
    <mergeCell ref="AD24:AE25"/>
    <mergeCell ref="AF24:AG25"/>
    <mergeCell ref="AH24:AI25"/>
    <mergeCell ref="AJ24:AQ25"/>
    <mergeCell ref="AJ15:AQ23"/>
    <mergeCell ref="A23:D23"/>
    <mergeCell ref="E23:Q23"/>
    <mergeCell ref="R23:U23"/>
    <mergeCell ref="V23:Y23"/>
    <mergeCell ref="E24:Q25"/>
    <mergeCell ref="R24:U25"/>
    <mergeCell ref="V24:Y25"/>
    <mergeCell ref="Z24:Z25"/>
    <mergeCell ref="AA24:AA25"/>
    <mergeCell ref="Z14:AB14"/>
    <mergeCell ref="AC14:AQ14"/>
    <mergeCell ref="A15:Y21"/>
    <mergeCell ref="Z15:Z23"/>
    <mergeCell ref="AA15:AA23"/>
    <mergeCell ref="AB15:AB23"/>
    <mergeCell ref="AC15:AC23"/>
    <mergeCell ref="AD15:AE23"/>
    <mergeCell ref="AF15:AG23"/>
    <mergeCell ref="AH15:AI23"/>
    <mergeCell ref="A12:F12"/>
    <mergeCell ref="G12:AB12"/>
    <mergeCell ref="AD12:AQ12"/>
    <mergeCell ref="A13:F13"/>
    <mergeCell ref="G13:AB13"/>
    <mergeCell ref="AD13:AQ13"/>
    <mergeCell ref="A10:E10"/>
    <mergeCell ref="F10:AB10"/>
    <mergeCell ref="AD10:AQ10"/>
    <mergeCell ref="A11:J11"/>
    <mergeCell ref="K11:AB11"/>
    <mergeCell ref="AD11:AQ11"/>
    <mergeCell ref="AJ1:AP1"/>
    <mergeCell ref="A5:AH6"/>
    <mergeCell ref="AH8:AQ8"/>
    <mergeCell ref="A9:G9"/>
    <mergeCell ref="H9:Q9"/>
    <mergeCell ref="R9:T9"/>
    <mergeCell ref="U9:AB9"/>
    <mergeCell ref="AC9:AQ9"/>
  </mergeCells>
  <pageMargins left="0.7" right="0.7" top="0.75" bottom="0.75" header="0.3" footer="0.3"/>
  <pageSetup scale="64" orientation="portrait" r:id="rId1"/>
  <headerFooter>
    <oddFooter>&amp;RFW083_KitRequest_COCtemplates_BottleGuide_20201014</oddFooter>
  </headerFooter>
  <rowBreaks count="1" manualBreakCount="1">
    <brk id="57" max="16383" man="1"/>
  </rowBreaks>
  <colBreaks count="1" manualBreakCount="1">
    <brk id="43" max="1048575" man="1"/>
  </col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DE257"/>
  <sheetViews>
    <sheetView zoomScale="70" zoomScaleNormal="70" workbookViewId="0">
      <pane ySplit="2" topLeftCell="A159" activePane="bottomLeft" state="frozen"/>
      <selection pane="bottomLeft" activeCell="H170" sqref="H170"/>
    </sheetView>
  </sheetViews>
  <sheetFormatPr defaultColWidth="63.42578125" defaultRowHeight="12.75"/>
  <cols>
    <col min="1" max="1" width="44.5703125" style="178" customWidth="1"/>
    <col min="2" max="2" width="32.5703125" style="178" customWidth="1"/>
    <col min="3" max="3" width="15.28515625" style="178" customWidth="1"/>
    <col min="4" max="4" width="31.140625" style="178" hidden="1" customWidth="1"/>
    <col min="5" max="5" width="50.28515625" style="178" bestFit="1" customWidth="1"/>
    <col min="6" max="6" width="40.42578125" style="178" bestFit="1" customWidth="1"/>
    <col min="7" max="7" width="32.5703125" style="178" bestFit="1" customWidth="1"/>
    <col min="8" max="8" width="57.140625" style="178" customWidth="1"/>
    <col min="9" max="16384" width="63.42578125" style="178"/>
  </cols>
  <sheetData>
    <row r="1" spans="1:8" ht="95.25" customHeight="1" thickBot="1">
      <c r="A1" s="178" t="s">
        <v>19</v>
      </c>
      <c r="B1" s="1576" t="s">
        <v>78</v>
      </c>
      <c r="C1" s="1576"/>
      <c r="D1" s="1576"/>
      <c r="E1" s="1576"/>
      <c r="F1" s="1577" t="s">
        <v>79</v>
      </c>
      <c r="G1" s="1577"/>
      <c r="H1" s="226"/>
    </row>
    <row r="2" spans="1:8" s="227" customFormat="1" ht="59.25" customHeight="1" thickBot="1">
      <c r="A2" s="246" t="s">
        <v>80</v>
      </c>
      <c r="B2" s="247" t="s">
        <v>81</v>
      </c>
      <c r="C2" s="247" t="s">
        <v>82</v>
      </c>
      <c r="D2" s="247" t="s">
        <v>83</v>
      </c>
      <c r="E2" s="247" t="s">
        <v>84</v>
      </c>
      <c r="F2" s="248" t="s">
        <v>85</v>
      </c>
      <c r="G2" s="247" t="s">
        <v>768</v>
      </c>
      <c r="H2" s="249" t="s">
        <v>86</v>
      </c>
    </row>
    <row r="3" spans="1:8" s="228" customFormat="1" ht="18">
      <c r="A3" s="157" t="s">
        <v>719</v>
      </c>
      <c r="B3" s="160" t="s">
        <v>720</v>
      </c>
      <c r="C3" s="158" t="s">
        <v>89</v>
      </c>
      <c r="D3" s="158" t="s">
        <v>652</v>
      </c>
      <c r="E3" s="160" t="s">
        <v>204</v>
      </c>
      <c r="F3" s="160" t="s">
        <v>92</v>
      </c>
      <c r="G3" s="158" t="s">
        <v>155</v>
      </c>
      <c r="H3" s="161" t="s">
        <v>130</v>
      </c>
    </row>
    <row r="4" spans="1:8" s="228" customFormat="1" ht="18">
      <c r="A4" s="157" t="s">
        <v>719</v>
      </c>
      <c r="B4" s="160" t="s">
        <v>1144</v>
      </c>
      <c r="C4" s="158" t="s">
        <v>89</v>
      </c>
      <c r="D4" s="158" t="s">
        <v>90</v>
      </c>
      <c r="E4" s="160" t="s">
        <v>232</v>
      </c>
      <c r="F4" s="160" t="s">
        <v>202</v>
      </c>
      <c r="G4" s="158" t="s">
        <v>93</v>
      </c>
      <c r="H4" s="161"/>
    </row>
    <row r="5" spans="1:8" s="228" customFormat="1" ht="54">
      <c r="A5" s="157" t="s">
        <v>719</v>
      </c>
      <c r="B5" s="160" t="s">
        <v>1144</v>
      </c>
      <c r="C5" s="158" t="s">
        <v>95</v>
      </c>
      <c r="D5" s="158" t="s">
        <v>604</v>
      </c>
      <c r="E5" s="160" t="s">
        <v>230</v>
      </c>
      <c r="F5" s="160" t="s">
        <v>231</v>
      </c>
      <c r="G5" s="158" t="s">
        <v>93</v>
      </c>
      <c r="H5" s="161"/>
    </row>
    <row r="6" spans="1:8" s="228" customFormat="1" ht="18">
      <c r="A6" s="157" t="s">
        <v>87</v>
      </c>
      <c r="B6" s="160" t="s">
        <v>88</v>
      </c>
      <c r="C6" s="158" t="s">
        <v>89</v>
      </c>
      <c r="D6" s="158" t="s">
        <v>554</v>
      </c>
      <c r="E6" s="158" t="s">
        <v>110</v>
      </c>
      <c r="F6" s="160" t="s">
        <v>92</v>
      </c>
      <c r="G6" s="158" t="s">
        <v>93</v>
      </c>
      <c r="H6" s="161" t="s">
        <v>94</v>
      </c>
    </row>
    <row r="7" spans="1:8" s="228" customFormat="1" ht="36.75">
      <c r="A7" s="157" t="s">
        <v>97</v>
      </c>
      <c r="B7" s="229" t="s">
        <v>98</v>
      </c>
      <c r="C7" s="158" t="s">
        <v>89</v>
      </c>
      <c r="D7" s="158" t="s">
        <v>98</v>
      </c>
      <c r="E7" s="158" t="s">
        <v>99</v>
      </c>
      <c r="F7" s="160" t="s">
        <v>92</v>
      </c>
      <c r="G7" s="182" t="s">
        <v>100</v>
      </c>
      <c r="H7" s="161" t="s">
        <v>101</v>
      </c>
    </row>
    <row r="8" spans="1:8" s="228" customFormat="1" ht="18">
      <c r="A8" s="157" t="s">
        <v>598</v>
      </c>
      <c r="B8" s="222"/>
      <c r="C8" s="222"/>
      <c r="D8" s="222"/>
      <c r="E8" s="222"/>
      <c r="F8" s="222"/>
      <c r="G8" s="222"/>
      <c r="H8" s="161"/>
    </row>
    <row r="9" spans="1:8" s="225" customFormat="1" ht="18">
      <c r="A9" s="157" t="s">
        <v>105</v>
      </c>
      <c r="B9" s="160" t="s">
        <v>106</v>
      </c>
      <c r="C9" s="158" t="s">
        <v>89</v>
      </c>
      <c r="D9" s="158" t="s">
        <v>554</v>
      </c>
      <c r="E9" s="158" t="s">
        <v>110</v>
      </c>
      <c r="F9" s="160" t="s">
        <v>92</v>
      </c>
      <c r="G9" s="158" t="s">
        <v>93</v>
      </c>
      <c r="H9" s="161" t="s">
        <v>94</v>
      </c>
    </row>
    <row r="10" spans="1:8" s="230" customFormat="1" ht="36">
      <c r="A10" s="179" t="s">
        <v>107</v>
      </c>
      <c r="B10" s="162" t="s">
        <v>113</v>
      </c>
      <c r="C10" s="163" t="s">
        <v>95</v>
      </c>
      <c r="D10" s="163" t="s">
        <v>114</v>
      </c>
      <c r="E10" s="163" t="s">
        <v>96</v>
      </c>
      <c r="F10" s="162" t="s">
        <v>115</v>
      </c>
      <c r="G10" s="163" t="s">
        <v>112</v>
      </c>
      <c r="H10" s="231"/>
    </row>
    <row r="11" spans="1:8" s="225" customFormat="1" ht="18">
      <c r="A11" s="157" t="s">
        <v>107</v>
      </c>
      <c r="B11" s="160" t="s">
        <v>108</v>
      </c>
      <c r="C11" s="158" t="s">
        <v>89</v>
      </c>
      <c r="D11" s="158" t="s">
        <v>643</v>
      </c>
      <c r="E11" s="158" t="s">
        <v>91</v>
      </c>
      <c r="F11" s="160" t="s">
        <v>111</v>
      </c>
      <c r="G11" s="158" t="s">
        <v>112</v>
      </c>
      <c r="H11" s="161"/>
    </row>
    <row r="12" spans="1:8" s="225" customFormat="1" ht="54">
      <c r="A12" s="157" t="s">
        <v>116</v>
      </c>
      <c r="B12" s="160" t="s">
        <v>117</v>
      </c>
      <c r="C12" s="158" t="s">
        <v>89</v>
      </c>
      <c r="D12" s="158" t="s">
        <v>563</v>
      </c>
      <c r="E12" s="158" t="s">
        <v>119</v>
      </c>
      <c r="F12" s="160" t="s">
        <v>120</v>
      </c>
      <c r="G12" s="158" t="s">
        <v>121</v>
      </c>
      <c r="H12" s="161" t="s">
        <v>122</v>
      </c>
    </row>
    <row r="13" spans="1:8" s="225" customFormat="1" ht="18">
      <c r="A13" s="157" t="s">
        <v>123</v>
      </c>
      <c r="B13" s="160" t="s">
        <v>124</v>
      </c>
      <c r="C13" s="158" t="s">
        <v>125</v>
      </c>
      <c r="D13" s="158" t="s">
        <v>126</v>
      </c>
      <c r="E13" s="158" t="s">
        <v>127</v>
      </c>
      <c r="F13" s="160" t="s">
        <v>128</v>
      </c>
      <c r="G13" s="158" t="s">
        <v>129</v>
      </c>
      <c r="H13" s="161" t="s">
        <v>130</v>
      </c>
    </row>
    <row r="14" spans="1:8" s="225" customFormat="1" ht="18">
      <c r="A14" s="157" t="s">
        <v>123</v>
      </c>
      <c r="B14" s="160" t="s">
        <v>131</v>
      </c>
      <c r="C14" s="158" t="s">
        <v>132</v>
      </c>
      <c r="D14" s="158" t="s">
        <v>133</v>
      </c>
      <c r="E14" s="158" t="s">
        <v>134</v>
      </c>
      <c r="F14" s="160" t="s">
        <v>128</v>
      </c>
      <c r="G14" s="158" t="s">
        <v>129</v>
      </c>
      <c r="H14" s="161" t="s">
        <v>130</v>
      </c>
    </row>
    <row r="15" spans="1:8" s="225" customFormat="1" ht="18">
      <c r="A15" s="157" t="s">
        <v>123</v>
      </c>
      <c r="B15" s="160" t="s">
        <v>135</v>
      </c>
      <c r="C15" s="158" t="s">
        <v>136</v>
      </c>
      <c r="D15" s="158" t="s">
        <v>137</v>
      </c>
      <c r="E15" s="158" t="s">
        <v>201</v>
      </c>
      <c r="F15" s="160" t="s">
        <v>92</v>
      </c>
      <c r="G15" s="158" t="s">
        <v>618</v>
      </c>
      <c r="H15" s="161" t="s">
        <v>619</v>
      </c>
    </row>
    <row r="16" spans="1:8" s="230" customFormat="1" ht="36">
      <c r="A16" s="157" t="s">
        <v>139</v>
      </c>
      <c r="B16" s="160" t="s">
        <v>140</v>
      </c>
      <c r="C16" s="158" t="s">
        <v>89</v>
      </c>
      <c r="D16" s="158" t="s">
        <v>141</v>
      </c>
      <c r="E16" s="158" t="s">
        <v>142</v>
      </c>
      <c r="F16" s="160" t="s">
        <v>92</v>
      </c>
      <c r="G16" s="182" t="s">
        <v>138</v>
      </c>
      <c r="H16" s="161"/>
    </row>
    <row r="17" spans="1:8" s="225" customFormat="1" ht="36">
      <c r="A17" s="179" t="s">
        <v>143</v>
      </c>
      <c r="B17" s="162" t="s">
        <v>144</v>
      </c>
      <c r="C17" s="163" t="s">
        <v>89</v>
      </c>
      <c r="D17" s="163" t="s">
        <v>126</v>
      </c>
      <c r="E17" s="163" t="s">
        <v>632</v>
      </c>
      <c r="F17" s="162" t="s">
        <v>145</v>
      </c>
      <c r="G17" s="163" t="s">
        <v>112</v>
      </c>
      <c r="H17" s="231" t="s">
        <v>130</v>
      </c>
    </row>
    <row r="18" spans="1:8" s="225" customFormat="1" ht="18">
      <c r="A18" s="157" t="s">
        <v>146</v>
      </c>
      <c r="B18" s="160" t="s">
        <v>147</v>
      </c>
      <c r="C18" s="158" t="s">
        <v>95</v>
      </c>
      <c r="D18" s="158" t="s">
        <v>584</v>
      </c>
      <c r="E18" s="158" t="s">
        <v>96</v>
      </c>
      <c r="F18" s="160" t="s">
        <v>92</v>
      </c>
      <c r="G18" s="158" t="s">
        <v>112</v>
      </c>
      <c r="H18" s="161"/>
    </row>
    <row r="19" spans="1:8" s="225" customFormat="1" ht="18">
      <c r="A19" s="157" t="s">
        <v>146</v>
      </c>
      <c r="B19" s="160" t="s">
        <v>147</v>
      </c>
      <c r="C19" s="158" t="s">
        <v>89</v>
      </c>
      <c r="D19" s="158" t="s">
        <v>148</v>
      </c>
      <c r="E19" s="158" t="s">
        <v>149</v>
      </c>
      <c r="F19" s="160" t="s">
        <v>92</v>
      </c>
      <c r="G19" s="158" t="s">
        <v>112</v>
      </c>
      <c r="H19" s="161"/>
    </row>
    <row r="20" spans="1:8" s="225" customFormat="1" ht="72">
      <c r="A20" s="157" t="s">
        <v>655</v>
      </c>
      <c r="B20" s="160" t="s">
        <v>1145</v>
      </c>
      <c r="C20" s="158" t="s">
        <v>95</v>
      </c>
      <c r="D20" s="158" t="s">
        <v>604</v>
      </c>
      <c r="E20" s="158" t="s">
        <v>230</v>
      </c>
      <c r="F20" s="160" t="s">
        <v>231</v>
      </c>
      <c r="G20" s="158" t="s">
        <v>589</v>
      </c>
      <c r="H20" s="161" t="s">
        <v>656</v>
      </c>
    </row>
    <row r="21" spans="1:8" s="225" customFormat="1" ht="36">
      <c r="A21" s="157" t="s">
        <v>655</v>
      </c>
      <c r="B21" s="160" t="s">
        <v>1145</v>
      </c>
      <c r="C21" s="158" t="s">
        <v>89</v>
      </c>
      <c r="D21" s="158" t="s">
        <v>90</v>
      </c>
      <c r="E21" s="167" t="s">
        <v>153</v>
      </c>
      <c r="F21" s="160" t="s">
        <v>202</v>
      </c>
      <c r="G21" s="167" t="s">
        <v>93</v>
      </c>
      <c r="H21" s="161" t="s">
        <v>657</v>
      </c>
    </row>
    <row r="22" spans="1:8" s="225" customFormat="1" ht="72">
      <c r="A22" s="157" t="s">
        <v>570</v>
      </c>
      <c r="B22" s="160" t="s">
        <v>571</v>
      </c>
      <c r="C22" s="158" t="s">
        <v>136</v>
      </c>
      <c r="D22" s="158" t="s">
        <v>616</v>
      </c>
      <c r="E22" s="158" t="s">
        <v>617</v>
      </c>
      <c r="F22" s="160" t="s">
        <v>699</v>
      </c>
      <c r="G22" s="182" t="s">
        <v>526</v>
      </c>
      <c r="H22" s="161"/>
    </row>
    <row r="23" spans="1:8" s="225" customFormat="1" ht="72">
      <c r="A23" s="157" t="s">
        <v>570</v>
      </c>
      <c r="B23" s="160" t="s">
        <v>725</v>
      </c>
      <c r="C23" s="158" t="s">
        <v>728</v>
      </c>
      <c r="D23" s="158" t="s">
        <v>726</v>
      </c>
      <c r="E23" s="158" t="s">
        <v>727</v>
      </c>
      <c r="F23" s="160" t="s">
        <v>723</v>
      </c>
      <c r="G23" s="182" t="s">
        <v>526</v>
      </c>
      <c r="H23" s="161"/>
    </row>
    <row r="24" spans="1:8" s="225" customFormat="1" ht="54">
      <c r="A24" s="157" t="s">
        <v>150</v>
      </c>
      <c r="B24" s="160" t="s">
        <v>151</v>
      </c>
      <c r="C24" s="158" t="s">
        <v>136</v>
      </c>
      <c r="D24" s="158" t="s">
        <v>152</v>
      </c>
      <c r="E24" s="158" t="s">
        <v>635</v>
      </c>
      <c r="F24" s="160" t="s">
        <v>154</v>
      </c>
      <c r="G24" s="158" t="s">
        <v>155</v>
      </c>
      <c r="H24" s="161" t="s">
        <v>130</v>
      </c>
    </row>
    <row r="25" spans="1:8" s="225" customFormat="1" ht="54">
      <c r="A25" s="157" t="s">
        <v>150</v>
      </c>
      <c r="B25" s="160" t="s">
        <v>151</v>
      </c>
      <c r="C25" s="158" t="s">
        <v>728</v>
      </c>
      <c r="D25" s="158" t="s">
        <v>152</v>
      </c>
      <c r="E25" s="158" t="s">
        <v>635</v>
      </c>
      <c r="F25" s="160" t="s">
        <v>724</v>
      </c>
      <c r="G25" s="158" t="s">
        <v>155</v>
      </c>
      <c r="H25" s="161" t="s">
        <v>130</v>
      </c>
    </row>
    <row r="26" spans="1:8" s="230" customFormat="1" ht="36">
      <c r="A26" s="157" t="s">
        <v>156</v>
      </c>
      <c r="B26" s="160" t="s">
        <v>157</v>
      </c>
      <c r="C26" s="158" t="s">
        <v>89</v>
      </c>
      <c r="D26" s="158" t="s">
        <v>158</v>
      </c>
      <c r="E26" s="158" t="s">
        <v>91</v>
      </c>
      <c r="F26" s="160" t="s">
        <v>111</v>
      </c>
      <c r="G26" s="158" t="s">
        <v>112</v>
      </c>
      <c r="H26" s="161"/>
    </row>
    <row r="27" spans="1:8" s="225" customFormat="1" ht="36">
      <c r="A27" s="179" t="s">
        <v>159</v>
      </c>
      <c r="B27" s="162" t="s">
        <v>144</v>
      </c>
      <c r="C27" s="163" t="s">
        <v>89</v>
      </c>
      <c r="D27" s="163" t="s">
        <v>126</v>
      </c>
      <c r="E27" s="163" t="s">
        <v>633</v>
      </c>
      <c r="F27" s="162" t="s">
        <v>145</v>
      </c>
      <c r="G27" s="163" t="s">
        <v>112</v>
      </c>
      <c r="H27" s="231" t="s">
        <v>130</v>
      </c>
    </row>
    <row r="28" spans="1:8" s="225" customFormat="1" ht="18">
      <c r="A28" s="175" t="s">
        <v>160</v>
      </c>
      <c r="B28" s="160" t="s">
        <v>147</v>
      </c>
      <c r="C28" s="167" t="s">
        <v>95</v>
      </c>
      <c r="D28" s="167" t="s">
        <v>584</v>
      </c>
      <c r="E28" s="167" t="s">
        <v>96</v>
      </c>
      <c r="F28" s="160" t="s">
        <v>92</v>
      </c>
      <c r="G28" s="167" t="s">
        <v>112</v>
      </c>
      <c r="H28" s="161"/>
    </row>
    <row r="29" spans="1:8" s="230" customFormat="1" ht="18">
      <c r="A29" s="157" t="s">
        <v>160</v>
      </c>
      <c r="B29" s="160" t="s">
        <v>147</v>
      </c>
      <c r="C29" s="158" t="s">
        <v>89</v>
      </c>
      <c r="D29" s="158" t="s">
        <v>148</v>
      </c>
      <c r="E29" s="158" t="s">
        <v>149</v>
      </c>
      <c r="F29" s="160" t="s">
        <v>92</v>
      </c>
      <c r="G29" s="158" t="s">
        <v>112</v>
      </c>
      <c r="H29" s="161"/>
    </row>
    <row r="30" spans="1:8" s="225" customFormat="1" ht="36">
      <c r="A30" s="179" t="s">
        <v>161</v>
      </c>
      <c r="B30" s="162" t="s">
        <v>144</v>
      </c>
      <c r="C30" s="163" t="s">
        <v>89</v>
      </c>
      <c r="D30" s="163" t="s">
        <v>126</v>
      </c>
      <c r="E30" s="163" t="s">
        <v>633</v>
      </c>
      <c r="F30" s="162" t="s">
        <v>145</v>
      </c>
      <c r="G30" s="163" t="s">
        <v>93</v>
      </c>
      <c r="H30" s="231" t="s">
        <v>130</v>
      </c>
    </row>
    <row r="31" spans="1:8" s="225" customFormat="1" ht="36">
      <c r="A31" s="157" t="s">
        <v>622</v>
      </c>
      <c r="B31" s="160" t="s">
        <v>162</v>
      </c>
      <c r="C31" s="158" t="s">
        <v>89</v>
      </c>
      <c r="D31" s="158" t="s">
        <v>163</v>
      </c>
      <c r="E31" s="158" t="s">
        <v>634</v>
      </c>
      <c r="F31" s="160" t="s">
        <v>564</v>
      </c>
      <c r="G31" s="158" t="s">
        <v>623</v>
      </c>
      <c r="H31" s="161" t="s">
        <v>624</v>
      </c>
    </row>
    <row r="32" spans="1:8" s="225" customFormat="1" ht="18">
      <c r="A32" s="157" t="s">
        <v>165</v>
      </c>
      <c r="B32" s="160" t="s">
        <v>166</v>
      </c>
      <c r="C32" s="158" t="s">
        <v>89</v>
      </c>
      <c r="D32" s="158" t="s">
        <v>167</v>
      </c>
      <c r="E32" s="158" t="s">
        <v>91</v>
      </c>
      <c r="F32" s="160" t="s">
        <v>92</v>
      </c>
      <c r="G32" s="182" t="s">
        <v>100</v>
      </c>
      <c r="H32" s="161"/>
    </row>
    <row r="33" spans="1:8" s="225" customFormat="1" ht="18">
      <c r="A33" s="157" t="s">
        <v>165</v>
      </c>
      <c r="B33" s="160" t="s">
        <v>621</v>
      </c>
      <c r="C33" s="158" t="s">
        <v>95</v>
      </c>
      <c r="D33" s="158" t="s">
        <v>226</v>
      </c>
      <c r="E33" s="158" t="s">
        <v>198</v>
      </c>
      <c r="F33" s="160" t="s">
        <v>92</v>
      </c>
      <c r="G33" s="158" t="s">
        <v>112</v>
      </c>
      <c r="H33" s="161" t="s">
        <v>130</v>
      </c>
    </row>
    <row r="34" spans="1:8" s="225" customFormat="1" ht="36">
      <c r="A34" s="157" t="s">
        <v>168</v>
      </c>
      <c r="B34" s="232" t="s">
        <v>98</v>
      </c>
      <c r="C34" s="158" t="s">
        <v>89</v>
      </c>
      <c r="D34" s="158" t="s">
        <v>98</v>
      </c>
      <c r="E34" s="158" t="s">
        <v>99</v>
      </c>
      <c r="F34" s="160" t="s">
        <v>92</v>
      </c>
      <c r="G34" s="182" t="s">
        <v>100</v>
      </c>
      <c r="H34" s="161" t="s">
        <v>169</v>
      </c>
    </row>
    <row r="35" spans="1:8" s="225" customFormat="1" ht="36">
      <c r="A35" s="157" t="s">
        <v>170</v>
      </c>
      <c r="B35" s="160" t="s">
        <v>171</v>
      </c>
      <c r="C35" s="158" t="s">
        <v>89</v>
      </c>
      <c r="D35" s="158" t="s">
        <v>152</v>
      </c>
      <c r="E35" s="158" t="s">
        <v>172</v>
      </c>
      <c r="F35" s="160" t="s">
        <v>758</v>
      </c>
      <c r="G35" s="182" t="s">
        <v>507</v>
      </c>
      <c r="H35" s="161"/>
    </row>
    <row r="36" spans="1:8" s="225" customFormat="1" ht="36">
      <c r="A36" s="157" t="s">
        <v>174</v>
      </c>
      <c r="B36" s="232" t="s">
        <v>175</v>
      </c>
      <c r="C36" s="158" t="s">
        <v>89</v>
      </c>
      <c r="D36" s="158" t="s">
        <v>152</v>
      </c>
      <c r="E36" s="158" t="s">
        <v>172</v>
      </c>
      <c r="F36" s="160" t="s">
        <v>698</v>
      </c>
      <c r="G36" s="182" t="s">
        <v>176</v>
      </c>
      <c r="H36" s="161" t="s">
        <v>757</v>
      </c>
    </row>
    <row r="37" spans="1:8" s="225" customFormat="1" ht="72">
      <c r="A37" s="157" t="s">
        <v>752</v>
      </c>
      <c r="B37" s="232" t="s">
        <v>178</v>
      </c>
      <c r="C37" s="158" t="s">
        <v>756</v>
      </c>
      <c r="D37" s="158" t="s">
        <v>152</v>
      </c>
      <c r="E37" s="158" t="s">
        <v>172</v>
      </c>
      <c r="F37" s="160" t="s">
        <v>754</v>
      </c>
      <c r="G37" s="182" t="s">
        <v>176</v>
      </c>
      <c r="H37" s="161" t="s">
        <v>177</v>
      </c>
    </row>
    <row r="38" spans="1:8" s="225" customFormat="1" ht="54">
      <c r="A38" s="157" t="s">
        <v>753</v>
      </c>
      <c r="B38" s="232" t="s">
        <v>178</v>
      </c>
      <c r="C38" s="158" t="s">
        <v>755</v>
      </c>
      <c r="D38" s="158" t="s">
        <v>152</v>
      </c>
      <c r="E38" s="158" t="s">
        <v>172</v>
      </c>
      <c r="F38" s="160" t="s">
        <v>767</v>
      </c>
      <c r="G38" s="182" t="s">
        <v>176</v>
      </c>
      <c r="H38" s="161" t="s">
        <v>177</v>
      </c>
    </row>
    <row r="39" spans="1:8" s="225" customFormat="1" ht="18">
      <c r="A39" s="157" t="s">
        <v>179</v>
      </c>
      <c r="B39" s="160" t="s">
        <v>180</v>
      </c>
      <c r="C39" s="158" t="s">
        <v>89</v>
      </c>
      <c r="D39" s="158" t="s">
        <v>152</v>
      </c>
      <c r="E39" s="158" t="s">
        <v>110</v>
      </c>
      <c r="F39" s="160" t="s">
        <v>92</v>
      </c>
      <c r="G39" s="182" t="s">
        <v>138</v>
      </c>
      <c r="H39" s="161"/>
    </row>
    <row r="40" spans="1:8" s="225" customFormat="1" ht="18">
      <c r="A40" s="157" t="s">
        <v>182</v>
      </c>
      <c r="B40" s="160" t="s">
        <v>183</v>
      </c>
      <c r="C40" s="158" t="s">
        <v>89</v>
      </c>
      <c r="D40" s="158" t="s">
        <v>554</v>
      </c>
      <c r="E40" s="158" t="s">
        <v>110</v>
      </c>
      <c r="F40" s="160" t="s">
        <v>92</v>
      </c>
      <c r="G40" s="158" t="s">
        <v>112</v>
      </c>
      <c r="H40" s="161"/>
    </row>
    <row r="41" spans="1:8" s="225" customFormat="1" ht="18">
      <c r="A41" s="157" t="s">
        <v>548</v>
      </c>
      <c r="B41" s="233"/>
      <c r="C41" s="223"/>
      <c r="D41" s="223"/>
      <c r="E41" s="223"/>
      <c r="F41" s="233"/>
      <c r="G41" s="223"/>
      <c r="H41" s="234"/>
    </row>
    <row r="42" spans="1:8" s="225" customFormat="1" ht="18">
      <c r="A42" s="157" t="s">
        <v>636</v>
      </c>
      <c r="B42" s="160" t="s">
        <v>184</v>
      </c>
      <c r="C42" s="158" t="s">
        <v>89</v>
      </c>
      <c r="D42" s="158" t="s">
        <v>185</v>
      </c>
      <c r="E42" s="235" t="s">
        <v>639</v>
      </c>
      <c r="F42" s="160" t="s">
        <v>92</v>
      </c>
      <c r="G42" s="182" t="s">
        <v>100</v>
      </c>
      <c r="H42" s="161" t="s">
        <v>640</v>
      </c>
    </row>
    <row r="43" spans="1:8" s="225" customFormat="1" ht="54">
      <c r="A43" s="157" t="s">
        <v>186</v>
      </c>
      <c r="B43" s="160" t="s">
        <v>187</v>
      </c>
      <c r="C43" s="158" t="s">
        <v>188</v>
      </c>
      <c r="D43" s="158" t="s">
        <v>565</v>
      </c>
      <c r="E43" s="158" t="s">
        <v>690</v>
      </c>
      <c r="F43" s="160" t="s">
        <v>524</v>
      </c>
      <c r="G43" s="158" t="s">
        <v>93</v>
      </c>
      <c r="H43" s="161"/>
    </row>
    <row r="44" spans="1:8" s="225" customFormat="1" ht="54">
      <c r="A44" s="157" t="s">
        <v>186</v>
      </c>
      <c r="B44" s="160" t="s">
        <v>187</v>
      </c>
      <c r="C44" s="158" t="s">
        <v>728</v>
      </c>
      <c r="D44" s="158" t="s">
        <v>565</v>
      </c>
      <c r="E44" s="158" t="s">
        <v>690</v>
      </c>
      <c r="F44" s="160" t="s">
        <v>729</v>
      </c>
      <c r="G44" s="158" t="s">
        <v>93</v>
      </c>
      <c r="H44" s="161"/>
    </row>
    <row r="45" spans="1:8" s="225" customFormat="1" ht="18">
      <c r="A45" s="157" t="s">
        <v>189</v>
      </c>
      <c r="B45" s="160" t="s">
        <v>190</v>
      </c>
      <c r="C45" s="158" t="s">
        <v>89</v>
      </c>
      <c r="D45" s="158" t="s">
        <v>565</v>
      </c>
      <c r="E45" s="158" t="s">
        <v>690</v>
      </c>
      <c r="F45" s="160" t="s">
        <v>191</v>
      </c>
      <c r="G45" s="158" t="s">
        <v>93</v>
      </c>
      <c r="H45" s="161"/>
    </row>
    <row r="46" spans="1:8" s="225" customFormat="1" ht="18">
      <c r="A46" s="157" t="s">
        <v>192</v>
      </c>
      <c r="B46" s="160" t="s">
        <v>193</v>
      </c>
      <c r="C46" s="158" t="s">
        <v>194</v>
      </c>
      <c r="D46" s="158" t="s">
        <v>133</v>
      </c>
      <c r="E46" s="160" t="s">
        <v>195</v>
      </c>
      <c r="F46" s="160" t="s">
        <v>128</v>
      </c>
      <c r="G46" s="158" t="s">
        <v>129</v>
      </c>
      <c r="H46" s="161" t="s">
        <v>196</v>
      </c>
    </row>
    <row r="47" spans="1:8" s="225" customFormat="1" ht="18">
      <c r="A47" s="157" t="s">
        <v>192</v>
      </c>
      <c r="B47" s="160" t="s">
        <v>197</v>
      </c>
      <c r="C47" s="158" t="s">
        <v>95</v>
      </c>
      <c r="D47" s="158" t="s">
        <v>585</v>
      </c>
      <c r="E47" s="160" t="s">
        <v>198</v>
      </c>
      <c r="F47" s="160" t="s">
        <v>92</v>
      </c>
      <c r="G47" s="158" t="s">
        <v>199</v>
      </c>
      <c r="H47" s="161" t="s">
        <v>196</v>
      </c>
    </row>
    <row r="48" spans="1:8" s="225" customFormat="1" ht="18">
      <c r="A48" s="157" t="s">
        <v>192</v>
      </c>
      <c r="B48" s="160" t="s">
        <v>197</v>
      </c>
      <c r="C48" s="158" t="s">
        <v>89</v>
      </c>
      <c r="D48" s="158" t="s">
        <v>200</v>
      </c>
      <c r="E48" s="160" t="s">
        <v>201</v>
      </c>
      <c r="F48" s="160" t="s">
        <v>202</v>
      </c>
      <c r="G48" s="158" t="s">
        <v>199</v>
      </c>
      <c r="H48" s="161" t="s">
        <v>196</v>
      </c>
    </row>
    <row r="49" spans="1:8" s="225" customFormat="1" ht="36">
      <c r="A49" s="157" t="s">
        <v>1171</v>
      </c>
      <c r="B49" s="160" t="s">
        <v>197</v>
      </c>
      <c r="C49" s="158" t="s">
        <v>89</v>
      </c>
      <c r="D49" s="158" t="s">
        <v>203</v>
      </c>
      <c r="E49" s="160" t="s">
        <v>204</v>
      </c>
      <c r="F49" s="160" t="s">
        <v>202</v>
      </c>
      <c r="G49" s="158" t="s">
        <v>199</v>
      </c>
      <c r="H49" s="161"/>
    </row>
    <row r="50" spans="1:8" s="225" customFormat="1" ht="18">
      <c r="A50" s="157" t="s">
        <v>205</v>
      </c>
      <c r="B50" s="160" t="s">
        <v>206</v>
      </c>
      <c r="C50" s="158" t="s">
        <v>136</v>
      </c>
      <c r="D50" s="158" t="s">
        <v>200</v>
      </c>
      <c r="E50" s="160" t="s">
        <v>201</v>
      </c>
      <c r="F50" s="160" t="s">
        <v>173</v>
      </c>
      <c r="G50" s="158" t="s">
        <v>112</v>
      </c>
      <c r="H50" s="161" t="s">
        <v>130</v>
      </c>
    </row>
    <row r="51" spans="1:8" s="225" customFormat="1" ht="36">
      <c r="A51" s="157" t="s">
        <v>205</v>
      </c>
      <c r="B51" s="160" t="s">
        <v>206</v>
      </c>
      <c r="C51" s="158" t="s">
        <v>728</v>
      </c>
      <c r="D51" s="158" t="s">
        <v>200</v>
      </c>
      <c r="E51" s="160" t="s">
        <v>201</v>
      </c>
      <c r="F51" s="160" t="s">
        <v>730</v>
      </c>
      <c r="G51" s="158" t="s">
        <v>112</v>
      </c>
      <c r="H51" s="161" t="s">
        <v>130</v>
      </c>
    </row>
    <row r="52" spans="1:8" s="225" customFormat="1" ht="18">
      <c r="A52" s="157" t="s">
        <v>205</v>
      </c>
      <c r="B52" s="160" t="s">
        <v>207</v>
      </c>
      <c r="C52" s="158" t="s">
        <v>95</v>
      </c>
      <c r="D52" s="158" t="s">
        <v>226</v>
      </c>
      <c r="E52" s="160" t="s">
        <v>208</v>
      </c>
      <c r="F52" s="160" t="s">
        <v>92</v>
      </c>
      <c r="G52" s="158" t="s">
        <v>129</v>
      </c>
      <c r="H52" s="161" t="s">
        <v>130</v>
      </c>
    </row>
    <row r="53" spans="1:8" s="225" customFormat="1" ht="18">
      <c r="A53" s="157" t="s">
        <v>205</v>
      </c>
      <c r="B53" s="160" t="s">
        <v>207</v>
      </c>
      <c r="C53" s="158" t="s">
        <v>89</v>
      </c>
      <c r="D53" s="158" t="s">
        <v>200</v>
      </c>
      <c r="E53" s="160" t="s">
        <v>201</v>
      </c>
      <c r="F53" s="160" t="s">
        <v>92</v>
      </c>
      <c r="G53" s="158" t="s">
        <v>129</v>
      </c>
      <c r="H53" s="161" t="s">
        <v>130</v>
      </c>
    </row>
    <row r="54" spans="1:8" s="225" customFormat="1" ht="18">
      <c r="A54" s="157" t="s">
        <v>209</v>
      </c>
      <c r="B54" s="160" t="s">
        <v>210</v>
      </c>
      <c r="C54" s="158" t="s">
        <v>136</v>
      </c>
      <c r="D54" s="158" t="s">
        <v>200</v>
      </c>
      <c r="E54" s="158" t="s">
        <v>211</v>
      </c>
      <c r="F54" s="160" t="s">
        <v>173</v>
      </c>
      <c r="G54" s="158" t="s">
        <v>155</v>
      </c>
      <c r="H54" s="161" t="s">
        <v>130</v>
      </c>
    </row>
    <row r="55" spans="1:8" s="225" customFormat="1" ht="36">
      <c r="A55" s="157" t="s">
        <v>209</v>
      </c>
      <c r="B55" s="160" t="s">
        <v>210</v>
      </c>
      <c r="C55" s="158" t="s">
        <v>728</v>
      </c>
      <c r="D55" s="158" t="s">
        <v>200</v>
      </c>
      <c r="E55" s="158" t="s">
        <v>211</v>
      </c>
      <c r="F55" s="160" t="s">
        <v>730</v>
      </c>
      <c r="G55" s="158" t="s">
        <v>155</v>
      </c>
      <c r="H55" s="161" t="s">
        <v>130</v>
      </c>
    </row>
    <row r="56" spans="1:8" s="225" customFormat="1" ht="36">
      <c r="A56" s="157" t="s">
        <v>212</v>
      </c>
      <c r="B56" s="236"/>
      <c r="C56" s="222"/>
      <c r="D56" s="222"/>
      <c r="E56" s="222"/>
      <c r="F56" s="236"/>
      <c r="G56" s="222"/>
      <c r="H56" s="237"/>
    </row>
    <row r="57" spans="1:8" s="225" customFormat="1" ht="36">
      <c r="A57" s="157" t="s">
        <v>213</v>
      </c>
      <c r="B57" s="160" t="s">
        <v>214</v>
      </c>
      <c r="C57" s="158" t="s">
        <v>89</v>
      </c>
      <c r="D57" s="158" t="s">
        <v>167</v>
      </c>
      <c r="E57" s="158" t="s">
        <v>215</v>
      </c>
      <c r="F57" s="160" t="s">
        <v>202</v>
      </c>
      <c r="G57" s="158" t="s">
        <v>112</v>
      </c>
      <c r="H57" s="161" t="s">
        <v>1180</v>
      </c>
    </row>
    <row r="58" spans="1:8" s="225" customFormat="1" ht="36">
      <c r="A58" s="157" t="s">
        <v>216</v>
      </c>
      <c r="B58" s="160" t="s">
        <v>217</v>
      </c>
      <c r="C58" s="158" t="s">
        <v>89</v>
      </c>
      <c r="D58" s="158" t="s">
        <v>109</v>
      </c>
      <c r="E58" s="158" t="s">
        <v>218</v>
      </c>
      <c r="F58" s="160" t="s">
        <v>92</v>
      </c>
      <c r="G58" s="158" t="s">
        <v>769</v>
      </c>
      <c r="H58" s="161" t="s">
        <v>220</v>
      </c>
    </row>
    <row r="59" spans="1:8" s="225" customFormat="1" ht="18">
      <c r="A59" s="157" t="s">
        <v>759</v>
      </c>
      <c r="B59" s="160" t="s">
        <v>1144</v>
      </c>
      <c r="C59" s="158" t="s">
        <v>89</v>
      </c>
      <c r="D59" s="158" t="s">
        <v>90</v>
      </c>
      <c r="E59" s="158" t="s">
        <v>153</v>
      </c>
      <c r="F59" s="160" t="s">
        <v>202</v>
      </c>
      <c r="G59" s="158" t="s">
        <v>93</v>
      </c>
      <c r="H59" s="161" t="s">
        <v>761</v>
      </c>
    </row>
    <row r="60" spans="1:8" s="225" customFormat="1" ht="54">
      <c r="A60" s="157" t="s">
        <v>759</v>
      </c>
      <c r="B60" s="160" t="s">
        <v>1144</v>
      </c>
      <c r="C60" s="158" t="s">
        <v>95</v>
      </c>
      <c r="D60" s="158" t="s">
        <v>604</v>
      </c>
      <c r="E60" s="158" t="s">
        <v>230</v>
      </c>
      <c r="F60" s="160" t="s">
        <v>231</v>
      </c>
      <c r="G60" s="158" t="s">
        <v>93</v>
      </c>
      <c r="H60" s="161" t="s">
        <v>763</v>
      </c>
    </row>
    <row r="61" spans="1:8" s="225" customFormat="1" ht="36">
      <c r="A61" s="157" t="s">
        <v>759</v>
      </c>
      <c r="B61" s="160" t="s">
        <v>629</v>
      </c>
      <c r="C61" s="158" t="s">
        <v>136</v>
      </c>
      <c r="D61" s="158" t="s">
        <v>90</v>
      </c>
      <c r="E61" s="158" t="s">
        <v>153</v>
      </c>
      <c r="F61" s="160" t="s">
        <v>92</v>
      </c>
      <c r="G61" s="158" t="s">
        <v>93</v>
      </c>
      <c r="H61" s="161" t="s">
        <v>605</v>
      </c>
    </row>
    <row r="62" spans="1:8" s="225" customFormat="1" ht="36">
      <c r="A62" s="157" t="s">
        <v>759</v>
      </c>
      <c r="B62" s="160" t="s">
        <v>629</v>
      </c>
      <c r="C62" s="158" t="s">
        <v>728</v>
      </c>
      <c r="D62" s="158" t="s">
        <v>90</v>
      </c>
      <c r="E62" s="158" t="s">
        <v>153</v>
      </c>
      <c r="F62" s="160" t="s">
        <v>731</v>
      </c>
      <c r="G62" s="158" t="s">
        <v>93</v>
      </c>
      <c r="H62" s="161" t="s">
        <v>605</v>
      </c>
    </row>
    <row r="63" spans="1:8" s="225" customFormat="1" ht="36">
      <c r="A63" s="157" t="s">
        <v>759</v>
      </c>
      <c r="B63" s="160" t="s">
        <v>760</v>
      </c>
      <c r="C63" s="158" t="s">
        <v>95</v>
      </c>
      <c r="D63" s="158" t="s">
        <v>226</v>
      </c>
      <c r="E63" s="158" t="s">
        <v>208</v>
      </c>
      <c r="F63" s="160" t="s">
        <v>92</v>
      </c>
      <c r="G63" s="158" t="s">
        <v>93</v>
      </c>
      <c r="H63" s="161" t="s">
        <v>704</v>
      </c>
    </row>
    <row r="64" spans="1:8" s="225" customFormat="1" ht="36">
      <c r="A64" s="157" t="s">
        <v>759</v>
      </c>
      <c r="B64" s="160" t="s">
        <v>760</v>
      </c>
      <c r="C64" s="158" t="s">
        <v>89</v>
      </c>
      <c r="D64" s="158" t="s">
        <v>90</v>
      </c>
      <c r="E64" s="158" t="s">
        <v>153</v>
      </c>
      <c r="F64" s="160" t="s">
        <v>92</v>
      </c>
      <c r="G64" s="158" t="s">
        <v>93</v>
      </c>
      <c r="H64" s="161" t="s">
        <v>605</v>
      </c>
    </row>
    <row r="65" spans="1:8" s="225" customFormat="1" ht="18">
      <c r="A65" s="157" t="s">
        <v>221</v>
      </c>
      <c r="B65" s="160" t="s">
        <v>222</v>
      </c>
      <c r="C65" s="158" t="s">
        <v>136</v>
      </c>
      <c r="D65" s="158" t="s">
        <v>223</v>
      </c>
      <c r="E65" s="158" t="s">
        <v>215</v>
      </c>
      <c r="F65" s="160" t="s">
        <v>173</v>
      </c>
      <c r="G65" s="158" t="s">
        <v>155</v>
      </c>
      <c r="H65" s="161" t="s">
        <v>130</v>
      </c>
    </row>
    <row r="66" spans="1:8" s="225" customFormat="1" ht="36">
      <c r="A66" s="157" t="s">
        <v>221</v>
      </c>
      <c r="B66" s="160" t="s">
        <v>222</v>
      </c>
      <c r="C66" s="158" t="s">
        <v>728</v>
      </c>
      <c r="D66" s="158" t="s">
        <v>223</v>
      </c>
      <c r="E66" s="158" t="s">
        <v>215</v>
      </c>
      <c r="F66" s="160" t="s">
        <v>730</v>
      </c>
      <c r="G66" s="158" t="s">
        <v>155</v>
      </c>
      <c r="H66" s="161" t="s">
        <v>130</v>
      </c>
    </row>
    <row r="67" spans="1:8" s="225" customFormat="1" ht="36">
      <c r="A67" s="157" t="s">
        <v>508</v>
      </c>
      <c r="B67" s="160" t="s">
        <v>509</v>
      </c>
      <c r="C67" s="158" t="s">
        <v>89</v>
      </c>
      <c r="D67" s="158" t="s">
        <v>152</v>
      </c>
      <c r="E67" s="158" t="s">
        <v>172</v>
      </c>
      <c r="F67" s="160" t="s">
        <v>173</v>
      </c>
      <c r="G67" s="182" t="s">
        <v>507</v>
      </c>
      <c r="H67" s="161"/>
    </row>
    <row r="68" spans="1:8" s="225" customFormat="1" ht="18">
      <c r="A68" s="157" t="s">
        <v>607</v>
      </c>
      <c r="B68" s="160" t="s">
        <v>606</v>
      </c>
      <c r="C68" s="158" t="s">
        <v>95</v>
      </c>
      <c r="D68" s="158" t="s">
        <v>226</v>
      </c>
      <c r="E68" s="158" t="s">
        <v>198</v>
      </c>
      <c r="F68" s="160" t="s">
        <v>92</v>
      </c>
      <c r="G68" s="158" t="s">
        <v>199</v>
      </c>
      <c r="H68" s="161" t="s">
        <v>130</v>
      </c>
    </row>
    <row r="69" spans="1:8" s="225" customFormat="1" ht="18">
      <c r="A69" s="157" t="s">
        <v>607</v>
      </c>
      <c r="B69" s="160" t="s">
        <v>606</v>
      </c>
      <c r="C69" s="158" t="s">
        <v>89</v>
      </c>
      <c r="D69" s="158" t="s">
        <v>163</v>
      </c>
      <c r="E69" s="158" t="s">
        <v>631</v>
      </c>
      <c r="F69" s="160" t="s">
        <v>202</v>
      </c>
      <c r="G69" s="158" t="s">
        <v>258</v>
      </c>
      <c r="H69" s="161" t="s">
        <v>130</v>
      </c>
    </row>
    <row r="70" spans="1:8" s="225" customFormat="1" ht="18">
      <c r="A70" s="175" t="s">
        <v>224</v>
      </c>
      <c r="B70" s="160" t="s">
        <v>225</v>
      </c>
      <c r="C70" s="158" t="s">
        <v>95</v>
      </c>
      <c r="D70" s="158" t="s">
        <v>226</v>
      </c>
      <c r="E70" s="158" t="s">
        <v>198</v>
      </c>
      <c r="F70" s="160" t="s">
        <v>92</v>
      </c>
      <c r="G70" s="158" t="s">
        <v>155</v>
      </c>
      <c r="H70" s="161" t="s">
        <v>130</v>
      </c>
    </row>
    <row r="71" spans="1:8" s="225" customFormat="1" ht="18">
      <c r="A71" s="175" t="s">
        <v>224</v>
      </c>
      <c r="B71" s="160" t="s">
        <v>225</v>
      </c>
      <c r="C71" s="158" t="s">
        <v>89</v>
      </c>
      <c r="D71" s="158" t="s">
        <v>200</v>
      </c>
      <c r="E71" s="158" t="s">
        <v>201</v>
      </c>
      <c r="F71" s="160" t="s">
        <v>92</v>
      </c>
      <c r="G71" s="158" t="s">
        <v>155</v>
      </c>
      <c r="H71" s="161" t="s">
        <v>130</v>
      </c>
    </row>
    <row r="72" spans="1:8" s="225" customFormat="1" ht="18">
      <c r="A72" s="175" t="s">
        <v>547</v>
      </c>
      <c r="B72" s="160" t="s">
        <v>147</v>
      </c>
      <c r="C72" s="158" t="s">
        <v>89</v>
      </c>
      <c r="D72" s="158" t="s">
        <v>148</v>
      </c>
      <c r="E72" s="158" t="s">
        <v>149</v>
      </c>
      <c r="F72" s="160" t="s">
        <v>92</v>
      </c>
      <c r="G72" s="158" t="s">
        <v>112</v>
      </c>
      <c r="H72" s="161"/>
    </row>
    <row r="73" spans="1:8" s="225" customFormat="1" ht="18">
      <c r="A73" s="175" t="s">
        <v>547</v>
      </c>
      <c r="B73" s="160" t="s">
        <v>147</v>
      </c>
      <c r="C73" s="167" t="s">
        <v>95</v>
      </c>
      <c r="D73" s="167" t="s">
        <v>584</v>
      </c>
      <c r="E73" s="167" t="s">
        <v>96</v>
      </c>
      <c r="F73" s="160" t="s">
        <v>92</v>
      </c>
      <c r="G73" s="167" t="s">
        <v>112</v>
      </c>
      <c r="H73" s="161"/>
    </row>
    <row r="74" spans="1:8" s="225" customFormat="1" ht="18">
      <c r="A74" s="157" t="s">
        <v>227</v>
      </c>
      <c r="B74" s="160" t="s">
        <v>228</v>
      </c>
      <c r="C74" s="158" t="s">
        <v>194</v>
      </c>
      <c r="D74" s="158" t="s">
        <v>133</v>
      </c>
      <c r="E74" s="158" t="s">
        <v>195</v>
      </c>
      <c r="F74" s="160" t="s">
        <v>128</v>
      </c>
      <c r="G74" s="158" t="s">
        <v>129</v>
      </c>
      <c r="H74" s="161" t="s">
        <v>229</v>
      </c>
    </row>
    <row r="75" spans="1:8" s="225" customFormat="1" ht="72">
      <c r="A75" s="157" t="s">
        <v>227</v>
      </c>
      <c r="B75" s="160" t="s">
        <v>228</v>
      </c>
      <c r="C75" s="158" t="s">
        <v>95</v>
      </c>
      <c r="D75" s="158" t="s">
        <v>604</v>
      </c>
      <c r="E75" s="158" t="s">
        <v>230</v>
      </c>
      <c r="F75" s="160" t="s">
        <v>702</v>
      </c>
      <c r="G75" s="158" t="s">
        <v>589</v>
      </c>
      <c r="H75" s="161" t="s">
        <v>613</v>
      </c>
    </row>
    <row r="76" spans="1:8" s="225" customFormat="1" ht="36">
      <c r="A76" s="157" t="s">
        <v>227</v>
      </c>
      <c r="B76" s="160" t="s">
        <v>228</v>
      </c>
      <c r="C76" s="158" t="s">
        <v>89</v>
      </c>
      <c r="D76" s="158" t="s">
        <v>90</v>
      </c>
      <c r="E76" s="158" t="s">
        <v>153</v>
      </c>
      <c r="F76" s="160" t="s">
        <v>202</v>
      </c>
      <c r="G76" s="158" t="s">
        <v>93</v>
      </c>
      <c r="H76" s="161" t="s">
        <v>614</v>
      </c>
    </row>
    <row r="77" spans="1:8" s="225" customFormat="1" ht="18">
      <c r="A77" s="157" t="s">
        <v>637</v>
      </c>
      <c r="B77" s="160" t="s">
        <v>184</v>
      </c>
      <c r="C77" s="158" t="s">
        <v>89</v>
      </c>
      <c r="D77" s="158" t="s">
        <v>185</v>
      </c>
      <c r="E77" s="158" t="s">
        <v>639</v>
      </c>
      <c r="F77" s="160" t="s">
        <v>92</v>
      </c>
      <c r="G77" s="182" t="s">
        <v>100</v>
      </c>
      <c r="H77" s="161" t="s">
        <v>638</v>
      </c>
    </row>
    <row r="78" spans="1:8" s="225" customFormat="1" ht="18">
      <c r="A78" s="157" t="s">
        <v>599</v>
      </c>
      <c r="B78" s="160" t="s">
        <v>102</v>
      </c>
      <c r="C78" s="158" t="s">
        <v>89</v>
      </c>
      <c r="D78" s="158" t="s">
        <v>90</v>
      </c>
      <c r="E78" s="158" t="s">
        <v>232</v>
      </c>
      <c r="F78" s="160" t="s">
        <v>202</v>
      </c>
      <c r="G78" s="158" t="s">
        <v>93</v>
      </c>
      <c r="H78" s="161" t="s">
        <v>600</v>
      </c>
    </row>
    <row r="79" spans="1:8" s="225" customFormat="1" ht="18">
      <c r="A79" s="157" t="s">
        <v>599</v>
      </c>
      <c r="B79" s="160" t="s">
        <v>102</v>
      </c>
      <c r="C79" s="158" t="s">
        <v>103</v>
      </c>
      <c r="D79" s="158" t="s">
        <v>576</v>
      </c>
      <c r="E79" s="158" t="s">
        <v>576</v>
      </c>
      <c r="F79" s="160" t="s">
        <v>202</v>
      </c>
      <c r="G79" s="158" t="s">
        <v>93</v>
      </c>
      <c r="H79" s="161" t="s">
        <v>600</v>
      </c>
    </row>
    <row r="80" spans="1:8" s="225" customFormat="1" ht="18">
      <c r="A80" s="157" t="s">
        <v>599</v>
      </c>
      <c r="B80" s="160" t="s">
        <v>102</v>
      </c>
      <c r="C80" s="158" t="s">
        <v>104</v>
      </c>
      <c r="D80" s="158" t="s">
        <v>226</v>
      </c>
      <c r="E80" s="158" t="s">
        <v>96</v>
      </c>
      <c r="F80" s="160" t="s">
        <v>202</v>
      </c>
      <c r="G80" s="158" t="s">
        <v>93</v>
      </c>
      <c r="H80" s="161" t="s">
        <v>600</v>
      </c>
    </row>
    <row r="81" spans="1:8" s="225" customFormat="1" ht="18">
      <c r="A81" s="157" t="s">
        <v>233</v>
      </c>
      <c r="B81" s="160" t="s">
        <v>234</v>
      </c>
      <c r="C81" s="158" t="s">
        <v>136</v>
      </c>
      <c r="D81" s="158" t="s">
        <v>235</v>
      </c>
      <c r="E81" s="158" t="s">
        <v>215</v>
      </c>
      <c r="F81" s="160" t="s">
        <v>173</v>
      </c>
      <c r="G81" s="158" t="s">
        <v>155</v>
      </c>
      <c r="H81" s="161" t="s">
        <v>130</v>
      </c>
    </row>
    <row r="82" spans="1:8" s="225" customFormat="1" ht="36">
      <c r="A82" s="157" t="s">
        <v>233</v>
      </c>
      <c r="B82" s="160" t="s">
        <v>234</v>
      </c>
      <c r="C82" s="158" t="s">
        <v>728</v>
      </c>
      <c r="D82" s="158" t="s">
        <v>235</v>
      </c>
      <c r="E82" s="158" t="s">
        <v>215</v>
      </c>
      <c r="F82" s="160" t="s">
        <v>730</v>
      </c>
      <c r="G82" s="158" t="s">
        <v>155</v>
      </c>
      <c r="H82" s="161" t="s">
        <v>130</v>
      </c>
    </row>
    <row r="83" spans="1:8" s="225" customFormat="1" ht="18">
      <c r="A83" s="157" t="s">
        <v>236</v>
      </c>
      <c r="B83" s="160" t="s">
        <v>237</v>
      </c>
      <c r="C83" s="158" t="s">
        <v>89</v>
      </c>
      <c r="D83" s="158" t="s">
        <v>200</v>
      </c>
      <c r="E83" s="158" t="s">
        <v>238</v>
      </c>
      <c r="F83" s="162" t="s">
        <v>703</v>
      </c>
      <c r="G83" s="158" t="s">
        <v>128</v>
      </c>
      <c r="H83" s="161" t="s">
        <v>130</v>
      </c>
    </row>
    <row r="84" spans="1:8" s="225" customFormat="1" ht="18">
      <c r="A84" s="157" t="s">
        <v>239</v>
      </c>
      <c r="B84" s="158" t="s">
        <v>240</v>
      </c>
      <c r="C84" s="158" t="s">
        <v>194</v>
      </c>
      <c r="D84" s="158" t="s">
        <v>241</v>
      </c>
      <c r="E84" s="158" t="s">
        <v>195</v>
      </c>
      <c r="F84" s="158" t="s">
        <v>128</v>
      </c>
      <c r="G84" s="158" t="s">
        <v>129</v>
      </c>
      <c r="H84" s="161"/>
    </row>
    <row r="85" spans="1:8" s="225" customFormat="1" ht="36">
      <c r="A85" s="157" t="s">
        <v>242</v>
      </c>
      <c r="B85" s="158" t="s">
        <v>243</v>
      </c>
      <c r="C85" s="158" t="s">
        <v>188</v>
      </c>
      <c r="D85" s="158" t="s">
        <v>200</v>
      </c>
      <c r="E85" s="158" t="s">
        <v>244</v>
      </c>
      <c r="F85" s="160" t="s">
        <v>92</v>
      </c>
      <c r="G85" s="158" t="s">
        <v>245</v>
      </c>
      <c r="H85" s="161" t="s">
        <v>130</v>
      </c>
    </row>
    <row r="86" spans="1:8" s="225" customFormat="1" ht="36">
      <c r="A86" s="157" t="s">
        <v>242</v>
      </c>
      <c r="B86" s="158" t="s">
        <v>243</v>
      </c>
      <c r="C86" s="158" t="s">
        <v>732</v>
      </c>
      <c r="D86" s="158" t="s">
        <v>200</v>
      </c>
      <c r="E86" s="158" t="s">
        <v>244</v>
      </c>
      <c r="F86" s="160" t="s">
        <v>731</v>
      </c>
      <c r="G86" s="158" t="s">
        <v>245</v>
      </c>
      <c r="H86" s="161" t="s">
        <v>130</v>
      </c>
    </row>
    <row r="87" spans="1:8" s="225" customFormat="1" ht="18">
      <c r="A87" s="157" t="s">
        <v>246</v>
      </c>
      <c r="B87" s="158" t="s">
        <v>247</v>
      </c>
      <c r="C87" s="158" t="s">
        <v>188</v>
      </c>
      <c r="D87" s="158" t="s">
        <v>90</v>
      </c>
      <c r="E87" s="158" t="s">
        <v>774</v>
      </c>
      <c r="F87" s="158" t="s">
        <v>248</v>
      </c>
      <c r="G87" s="158" t="s">
        <v>93</v>
      </c>
      <c r="H87" s="161" t="s">
        <v>130</v>
      </c>
    </row>
    <row r="88" spans="1:8" s="225" customFormat="1" ht="36">
      <c r="A88" s="157" t="s">
        <v>246</v>
      </c>
      <c r="B88" s="158" t="s">
        <v>247</v>
      </c>
      <c r="C88" s="158" t="s">
        <v>732</v>
      </c>
      <c r="D88" s="158" t="s">
        <v>90</v>
      </c>
      <c r="E88" s="158" t="s">
        <v>774</v>
      </c>
      <c r="F88" s="158" t="s">
        <v>733</v>
      </c>
      <c r="G88" s="158" t="s">
        <v>93</v>
      </c>
      <c r="H88" s="161" t="s">
        <v>130</v>
      </c>
    </row>
    <row r="89" spans="1:8" s="225" customFormat="1" ht="18">
      <c r="A89" s="175" t="s">
        <v>249</v>
      </c>
      <c r="B89" s="160" t="s">
        <v>250</v>
      </c>
      <c r="C89" s="158" t="s">
        <v>89</v>
      </c>
      <c r="D89" s="158" t="s">
        <v>328</v>
      </c>
      <c r="E89" s="158" t="s">
        <v>110</v>
      </c>
      <c r="F89" s="160" t="s">
        <v>251</v>
      </c>
      <c r="G89" s="158" t="s">
        <v>252</v>
      </c>
      <c r="H89" s="161"/>
    </row>
    <row r="90" spans="1:8" s="225" customFormat="1" ht="36">
      <c r="A90" s="157" t="s">
        <v>253</v>
      </c>
      <c r="B90" s="160" t="s">
        <v>254</v>
      </c>
      <c r="C90" s="158" t="s">
        <v>136</v>
      </c>
      <c r="D90" s="158" t="s">
        <v>235</v>
      </c>
      <c r="E90" s="158" t="s">
        <v>255</v>
      </c>
      <c r="F90" s="163" t="s">
        <v>256</v>
      </c>
      <c r="G90" s="158" t="s">
        <v>93</v>
      </c>
      <c r="H90" s="161" t="s">
        <v>130</v>
      </c>
    </row>
    <row r="91" spans="1:8" s="225" customFormat="1" ht="36">
      <c r="A91" s="157" t="s">
        <v>253</v>
      </c>
      <c r="B91" s="160" t="s">
        <v>254</v>
      </c>
      <c r="C91" s="158" t="s">
        <v>728</v>
      </c>
      <c r="D91" s="158" t="s">
        <v>235</v>
      </c>
      <c r="E91" s="158" t="s">
        <v>255</v>
      </c>
      <c r="F91" s="163" t="s">
        <v>734</v>
      </c>
      <c r="G91" s="158" t="s">
        <v>93</v>
      </c>
      <c r="H91" s="161" t="s">
        <v>130</v>
      </c>
    </row>
    <row r="92" spans="1:8" s="225" customFormat="1" ht="18">
      <c r="A92" s="157" t="s">
        <v>253</v>
      </c>
      <c r="B92" s="160" t="s">
        <v>257</v>
      </c>
      <c r="C92" s="158" t="s">
        <v>136</v>
      </c>
      <c r="D92" s="158" t="s">
        <v>200</v>
      </c>
      <c r="E92" s="158" t="s">
        <v>201</v>
      </c>
      <c r="F92" s="158" t="s">
        <v>173</v>
      </c>
      <c r="G92" s="158" t="s">
        <v>258</v>
      </c>
      <c r="H92" s="161" t="s">
        <v>130</v>
      </c>
    </row>
    <row r="93" spans="1:8" s="225" customFormat="1" ht="36">
      <c r="A93" s="157" t="s">
        <v>253</v>
      </c>
      <c r="B93" s="160" t="s">
        <v>257</v>
      </c>
      <c r="C93" s="158" t="s">
        <v>728</v>
      </c>
      <c r="D93" s="158" t="s">
        <v>200</v>
      </c>
      <c r="E93" s="158" t="s">
        <v>201</v>
      </c>
      <c r="F93" s="158" t="s">
        <v>730</v>
      </c>
      <c r="G93" s="158" t="s">
        <v>258</v>
      </c>
      <c r="H93" s="161" t="s">
        <v>130</v>
      </c>
    </row>
    <row r="94" spans="1:8" s="225" customFormat="1" ht="18">
      <c r="A94" s="157" t="s">
        <v>253</v>
      </c>
      <c r="B94" s="160" t="s">
        <v>259</v>
      </c>
      <c r="C94" s="158" t="s">
        <v>95</v>
      </c>
      <c r="D94" s="158" t="s">
        <v>226</v>
      </c>
      <c r="E94" s="158" t="s">
        <v>208</v>
      </c>
      <c r="F94" s="160" t="s">
        <v>92</v>
      </c>
      <c r="G94" s="158" t="s">
        <v>199</v>
      </c>
      <c r="H94" s="161" t="s">
        <v>130</v>
      </c>
    </row>
    <row r="95" spans="1:8" s="225" customFormat="1" ht="18">
      <c r="A95" s="157" t="s">
        <v>253</v>
      </c>
      <c r="B95" s="160" t="s">
        <v>259</v>
      </c>
      <c r="C95" s="158" t="s">
        <v>89</v>
      </c>
      <c r="D95" s="158" t="s">
        <v>200</v>
      </c>
      <c r="E95" s="158" t="s">
        <v>204</v>
      </c>
      <c r="F95" s="160" t="s">
        <v>92</v>
      </c>
      <c r="G95" s="158" t="s">
        <v>258</v>
      </c>
      <c r="H95" s="161" t="s">
        <v>130</v>
      </c>
    </row>
    <row r="96" spans="1:8" s="225" customFormat="1" ht="54">
      <c r="A96" s="157" t="s">
        <v>261</v>
      </c>
      <c r="B96" s="232" t="s">
        <v>260</v>
      </c>
      <c r="C96" s="158" t="s">
        <v>89</v>
      </c>
      <c r="D96" s="158" t="s">
        <v>152</v>
      </c>
      <c r="E96" s="158" t="s">
        <v>172</v>
      </c>
      <c r="F96" s="160" t="s">
        <v>698</v>
      </c>
      <c r="G96" s="182" t="s">
        <v>586</v>
      </c>
      <c r="H96" s="161" t="s">
        <v>177</v>
      </c>
    </row>
    <row r="97" spans="1:8" s="225" customFormat="1" ht="18">
      <c r="A97" s="157" t="s">
        <v>262</v>
      </c>
      <c r="B97" s="160" t="s">
        <v>557</v>
      </c>
      <c r="C97" s="158" t="s">
        <v>194</v>
      </c>
      <c r="D97" s="158" t="s">
        <v>148</v>
      </c>
      <c r="E97" s="158" t="s">
        <v>96</v>
      </c>
      <c r="F97" s="160" t="s">
        <v>128</v>
      </c>
      <c r="G97" s="158" t="s">
        <v>129</v>
      </c>
      <c r="H97" s="161"/>
    </row>
    <row r="98" spans="1:8" s="225" customFormat="1" ht="72">
      <c r="A98" s="157" t="s">
        <v>263</v>
      </c>
      <c r="B98" s="158" t="s">
        <v>497</v>
      </c>
      <c r="C98" s="158" t="s">
        <v>136</v>
      </c>
      <c r="D98" s="158" t="s">
        <v>264</v>
      </c>
      <c r="E98" s="158" t="s">
        <v>620</v>
      </c>
      <c r="F98" s="158" t="s">
        <v>700</v>
      </c>
      <c r="G98" s="158" t="s">
        <v>265</v>
      </c>
      <c r="H98" s="161" t="s">
        <v>905</v>
      </c>
    </row>
    <row r="99" spans="1:8" s="225" customFormat="1" ht="72">
      <c r="A99" s="157" t="s">
        <v>263</v>
      </c>
      <c r="B99" s="158" t="s">
        <v>497</v>
      </c>
      <c r="C99" s="158" t="s">
        <v>728</v>
      </c>
      <c r="D99" s="158" t="s">
        <v>264</v>
      </c>
      <c r="E99" s="158" t="s">
        <v>620</v>
      </c>
      <c r="F99" s="158" t="s">
        <v>735</v>
      </c>
      <c r="G99" s="158" t="s">
        <v>265</v>
      </c>
      <c r="H99" s="161" t="s">
        <v>905</v>
      </c>
    </row>
    <row r="100" spans="1:8" s="225" customFormat="1" ht="18">
      <c r="A100" s="157" t="s">
        <v>266</v>
      </c>
      <c r="B100" s="158" t="s">
        <v>566</v>
      </c>
      <c r="C100" s="158" t="s">
        <v>194</v>
      </c>
      <c r="D100" s="158" t="s">
        <v>148</v>
      </c>
      <c r="E100" s="158" t="s">
        <v>195</v>
      </c>
      <c r="F100" s="158" t="s">
        <v>128</v>
      </c>
      <c r="G100" s="158" t="s">
        <v>129</v>
      </c>
      <c r="H100" s="161"/>
    </row>
    <row r="101" spans="1:8" s="225" customFormat="1" ht="36">
      <c r="A101" s="157" t="s">
        <v>267</v>
      </c>
      <c r="B101" s="236"/>
      <c r="C101" s="222"/>
      <c r="D101" s="222"/>
      <c r="E101" s="222"/>
      <c r="F101" s="236"/>
      <c r="G101" s="222"/>
      <c r="H101" s="237"/>
    </row>
    <row r="102" spans="1:8" s="225" customFormat="1" ht="36">
      <c r="A102" s="157" t="s">
        <v>268</v>
      </c>
      <c r="B102" s="160" t="s">
        <v>269</v>
      </c>
      <c r="C102" s="158" t="s">
        <v>136</v>
      </c>
      <c r="D102" s="158" t="s">
        <v>118</v>
      </c>
      <c r="E102" s="158" t="s">
        <v>270</v>
      </c>
      <c r="F102" s="160" t="s">
        <v>271</v>
      </c>
      <c r="G102" s="158" t="s">
        <v>121</v>
      </c>
      <c r="H102" s="161" t="s">
        <v>272</v>
      </c>
    </row>
    <row r="103" spans="1:8" s="225" customFormat="1" ht="36">
      <c r="A103" s="157" t="s">
        <v>268</v>
      </c>
      <c r="B103" s="160" t="s">
        <v>269</v>
      </c>
      <c r="C103" s="158" t="s">
        <v>728</v>
      </c>
      <c r="D103" s="158" t="s">
        <v>118</v>
      </c>
      <c r="E103" s="158" t="s">
        <v>270</v>
      </c>
      <c r="F103" s="160" t="s">
        <v>736</v>
      </c>
      <c r="G103" s="158" t="s">
        <v>121</v>
      </c>
      <c r="H103" s="161" t="s">
        <v>272</v>
      </c>
    </row>
    <row r="104" spans="1:8" s="225" customFormat="1" ht="18">
      <c r="A104" s="164" t="s">
        <v>273</v>
      </c>
      <c r="B104" s="158" t="s">
        <v>1146</v>
      </c>
      <c r="C104" s="158" t="s">
        <v>104</v>
      </c>
      <c r="D104" s="158" t="s">
        <v>114</v>
      </c>
      <c r="E104" s="158" t="s">
        <v>134</v>
      </c>
      <c r="F104" s="158" t="s">
        <v>128</v>
      </c>
      <c r="G104" s="158" t="s">
        <v>274</v>
      </c>
      <c r="H104" s="161"/>
    </row>
    <row r="105" spans="1:8" s="225" customFormat="1" ht="75">
      <c r="A105" s="157" t="s">
        <v>275</v>
      </c>
      <c r="B105" s="160" t="s">
        <v>276</v>
      </c>
      <c r="C105" s="158" t="s">
        <v>136</v>
      </c>
      <c r="D105" s="158" t="s">
        <v>200</v>
      </c>
      <c r="E105" s="158" t="s">
        <v>762</v>
      </c>
      <c r="F105" s="160" t="s">
        <v>251</v>
      </c>
      <c r="G105" s="158" t="s">
        <v>274</v>
      </c>
      <c r="H105" s="238" t="s">
        <v>906</v>
      </c>
    </row>
    <row r="106" spans="1:8" s="225" customFormat="1" ht="18">
      <c r="A106" s="157" t="s">
        <v>277</v>
      </c>
      <c r="B106" s="236"/>
      <c r="C106" s="222"/>
      <c r="D106" s="222"/>
      <c r="E106" s="222"/>
      <c r="F106" s="236"/>
      <c r="G106" s="222"/>
      <c r="H106" s="237"/>
    </row>
    <row r="107" spans="1:8" s="225" customFormat="1" ht="90">
      <c r="A107" s="157" t="s">
        <v>278</v>
      </c>
      <c r="B107" s="160" t="s">
        <v>1150</v>
      </c>
      <c r="C107" s="158" t="s">
        <v>1149</v>
      </c>
      <c r="D107" s="158" t="s">
        <v>328</v>
      </c>
      <c r="E107" s="158" t="s">
        <v>375</v>
      </c>
      <c r="F107" s="160" t="s">
        <v>251</v>
      </c>
      <c r="G107" s="158" t="s">
        <v>1151</v>
      </c>
      <c r="H107" s="161" t="s">
        <v>907</v>
      </c>
    </row>
    <row r="108" spans="1:8" s="225" customFormat="1" ht="72">
      <c r="A108" s="157" t="s">
        <v>278</v>
      </c>
      <c r="B108" s="160" t="s">
        <v>1147</v>
      </c>
      <c r="C108" s="158" t="s">
        <v>1149</v>
      </c>
      <c r="D108" s="158"/>
      <c r="E108" s="158" t="s">
        <v>375</v>
      </c>
      <c r="F108" s="160" t="s">
        <v>251</v>
      </c>
      <c r="G108" s="158" t="s">
        <v>112</v>
      </c>
      <c r="H108" s="161" t="s">
        <v>1152</v>
      </c>
    </row>
    <row r="109" spans="1:8" s="225" customFormat="1" ht="18">
      <c r="A109" s="157" t="s">
        <v>625</v>
      </c>
      <c r="B109" s="160" t="s">
        <v>626</v>
      </c>
      <c r="C109" s="158" t="s">
        <v>65</v>
      </c>
      <c r="D109" s="167" t="s">
        <v>203</v>
      </c>
      <c r="E109" s="167" t="s">
        <v>627</v>
      </c>
      <c r="F109" s="160" t="s">
        <v>284</v>
      </c>
      <c r="G109" s="158" t="s">
        <v>522</v>
      </c>
      <c r="H109" s="161" t="s">
        <v>130</v>
      </c>
    </row>
    <row r="110" spans="1:8" s="225" customFormat="1" ht="18">
      <c r="A110" s="157" t="s">
        <v>279</v>
      </c>
      <c r="B110" s="160" t="s">
        <v>1147</v>
      </c>
      <c r="C110" s="158" t="s">
        <v>1149</v>
      </c>
      <c r="D110" s="158"/>
      <c r="E110" s="158" t="s">
        <v>375</v>
      </c>
      <c r="F110" s="160" t="s">
        <v>251</v>
      </c>
      <c r="G110" s="158" t="s">
        <v>112</v>
      </c>
      <c r="H110" s="161" t="s">
        <v>130</v>
      </c>
    </row>
    <row r="111" spans="1:8" s="225" customFormat="1" ht="54">
      <c r="A111" s="157" t="s">
        <v>279</v>
      </c>
      <c r="B111" s="160" t="s">
        <v>1148</v>
      </c>
      <c r="C111" s="158" t="s">
        <v>65</v>
      </c>
      <c r="D111" s="158" t="s">
        <v>328</v>
      </c>
      <c r="E111" s="158" t="s">
        <v>375</v>
      </c>
      <c r="F111" s="160" t="s">
        <v>251</v>
      </c>
      <c r="G111" s="158" t="s">
        <v>112</v>
      </c>
      <c r="H111" s="161" t="s">
        <v>905</v>
      </c>
    </row>
    <row r="112" spans="1:8" s="225" customFormat="1" ht="36">
      <c r="A112" s="164" t="s">
        <v>279</v>
      </c>
      <c r="B112" s="170" t="s">
        <v>558</v>
      </c>
      <c r="C112" s="167" t="s">
        <v>95</v>
      </c>
      <c r="D112" s="167" t="s">
        <v>580</v>
      </c>
      <c r="E112" s="167" t="s">
        <v>96</v>
      </c>
      <c r="F112" s="160" t="s">
        <v>280</v>
      </c>
      <c r="G112" s="158" t="s">
        <v>112</v>
      </c>
      <c r="H112" s="161"/>
    </row>
    <row r="113" spans="1:8" s="225" customFormat="1" ht="36">
      <c r="A113" s="164" t="s">
        <v>281</v>
      </c>
      <c r="B113" s="170" t="s">
        <v>282</v>
      </c>
      <c r="C113" s="167" t="s">
        <v>89</v>
      </c>
      <c r="D113" s="167" t="s">
        <v>203</v>
      </c>
      <c r="E113" s="167" t="s">
        <v>283</v>
      </c>
      <c r="F113" s="160" t="s">
        <v>284</v>
      </c>
      <c r="G113" s="158" t="s">
        <v>522</v>
      </c>
      <c r="H113" s="161" t="s">
        <v>628</v>
      </c>
    </row>
    <row r="114" spans="1:8" s="225" customFormat="1" ht="90">
      <c r="A114" s="164" t="s">
        <v>495</v>
      </c>
      <c r="B114" s="170" t="s">
        <v>276</v>
      </c>
      <c r="C114" s="167" t="s">
        <v>89</v>
      </c>
      <c r="D114" s="167" t="s">
        <v>181</v>
      </c>
      <c r="E114" s="167" t="s">
        <v>375</v>
      </c>
      <c r="F114" s="160" t="s">
        <v>251</v>
      </c>
      <c r="G114" s="158" t="s">
        <v>666</v>
      </c>
      <c r="H114" s="161" t="s">
        <v>907</v>
      </c>
    </row>
    <row r="115" spans="1:8" s="225" customFormat="1" ht="90">
      <c r="A115" s="164" t="s">
        <v>495</v>
      </c>
      <c r="B115" s="170" t="s">
        <v>559</v>
      </c>
      <c r="C115" s="167" t="s">
        <v>89</v>
      </c>
      <c r="D115" s="167" t="s">
        <v>328</v>
      </c>
      <c r="E115" s="167" t="s">
        <v>91</v>
      </c>
      <c r="F115" s="160" t="s">
        <v>251</v>
      </c>
      <c r="G115" s="158" t="s">
        <v>666</v>
      </c>
      <c r="H115" s="161" t="s">
        <v>908</v>
      </c>
    </row>
    <row r="116" spans="1:8" s="225" customFormat="1" ht="36">
      <c r="A116" s="164" t="s">
        <v>496</v>
      </c>
      <c r="B116" s="170" t="s">
        <v>276</v>
      </c>
      <c r="C116" s="167" t="s">
        <v>89</v>
      </c>
      <c r="D116" s="167" t="s">
        <v>181</v>
      </c>
      <c r="E116" s="167" t="s">
        <v>91</v>
      </c>
      <c r="F116" s="160" t="s">
        <v>251</v>
      </c>
      <c r="G116" s="158" t="s">
        <v>666</v>
      </c>
      <c r="H116" s="161"/>
    </row>
    <row r="117" spans="1:8" s="225" customFormat="1" ht="36">
      <c r="A117" s="164" t="s">
        <v>496</v>
      </c>
      <c r="B117" s="170" t="s">
        <v>559</v>
      </c>
      <c r="C117" s="167" t="s">
        <v>95</v>
      </c>
      <c r="D117" s="167" t="s">
        <v>580</v>
      </c>
      <c r="E117" s="167" t="s">
        <v>96</v>
      </c>
      <c r="F117" s="160" t="s">
        <v>92</v>
      </c>
      <c r="G117" s="158" t="s">
        <v>666</v>
      </c>
      <c r="H117" s="161"/>
    </row>
    <row r="118" spans="1:8" s="225" customFormat="1" ht="36">
      <c r="A118" s="164" t="s">
        <v>496</v>
      </c>
      <c r="B118" s="170" t="s">
        <v>559</v>
      </c>
      <c r="C118" s="167" t="s">
        <v>194</v>
      </c>
      <c r="D118" s="167" t="s">
        <v>133</v>
      </c>
      <c r="E118" s="167" t="s">
        <v>195</v>
      </c>
      <c r="F118" s="160" t="s">
        <v>126</v>
      </c>
      <c r="G118" s="158" t="s">
        <v>666</v>
      </c>
      <c r="H118" s="161"/>
    </row>
    <row r="119" spans="1:8" s="225" customFormat="1" ht="36">
      <c r="A119" s="164" t="s">
        <v>286</v>
      </c>
      <c r="B119" s="170" t="s">
        <v>559</v>
      </c>
      <c r="C119" s="167" t="s">
        <v>287</v>
      </c>
      <c r="D119" s="167" t="s">
        <v>288</v>
      </c>
      <c r="E119" s="167" t="s">
        <v>289</v>
      </c>
      <c r="F119" s="160" t="s">
        <v>126</v>
      </c>
      <c r="G119" s="158" t="s">
        <v>666</v>
      </c>
      <c r="H119" s="161" t="s">
        <v>307</v>
      </c>
    </row>
    <row r="120" spans="1:8" s="225" customFormat="1" ht="18">
      <c r="A120" s="164" t="s">
        <v>291</v>
      </c>
      <c r="B120" s="170" t="s">
        <v>292</v>
      </c>
      <c r="C120" s="167" t="s">
        <v>89</v>
      </c>
      <c r="D120" s="167" t="s">
        <v>90</v>
      </c>
      <c r="E120" s="167" t="s">
        <v>153</v>
      </c>
      <c r="F120" s="160" t="s">
        <v>202</v>
      </c>
      <c r="G120" s="158" t="s">
        <v>93</v>
      </c>
      <c r="H120" s="165" t="s">
        <v>590</v>
      </c>
    </row>
    <row r="121" spans="1:8" s="230" customFormat="1" ht="36">
      <c r="A121" s="172" t="s">
        <v>293</v>
      </c>
      <c r="B121" s="169" t="s">
        <v>294</v>
      </c>
      <c r="C121" s="171" t="s">
        <v>188</v>
      </c>
      <c r="D121" s="171" t="s">
        <v>148</v>
      </c>
      <c r="E121" s="171" t="s">
        <v>149</v>
      </c>
      <c r="F121" s="162" t="s">
        <v>701</v>
      </c>
      <c r="G121" s="163" t="s">
        <v>112</v>
      </c>
      <c r="H121" s="166"/>
    </row>
    <row r="122" spans="1:8" s="230" customFormat="1" ht="54">
      <c r="A122" s="172" t="s">
        <v>293</v>
      </c>
      <c r="B122" s="169" t="s">
        <v>294</v>
      </c>
      <c r="C122" s="171" t="s">
        <v>728</v>
      </c>
      <c r="D122" s="171" t="s">
        <v>148</v>
      </c>
      <c r="E122" s="171" t="s">
        <v>149</v>
      </c>
      <c r="F122" s="162" t="s">
        <v>975</v>
      </c>
      <c r="G122" s="163" t="s">
        <v>112</v>
      </c>
      <c r="H122" s="166" t="s">
        <v>977</v>
      </c>
    </row>
    <row r="123" spans="1:8" s="225" customFormat="1" ht="54">
      <c r="A123" s="164" t="s">
        <v>295</v>
      </c>
      <c r="B123" s="170" t="s">
        <v>147</v>
      </c>
      <c r="C123" s="167" t="s">
        <v>136</v>
      </c>
      <c r="D123" s="167" t="s">
        <v>148</v>
      </c>
      <c r="E123" s="167" t="s">
        <v>149</v>
      </c>
      <c r="F123" s="160" t="s">
        <v>92</v>
      </c>
      <c r="G123" s="183" t="s">
        <v>138</v>
      </c>
      <c r="H123" s="166" t="s">
        <v>977</v>
      </c>
    </row>
    <row r="124" spans="1:8" s="225" customFormat="1" ht="54">
      <c r="A124" s="164" t="s">
        <v>295</v>
      </c>
      <c r="B124" s="170" t="s">
        <v>147</v>
      </c>
      <c r="C124" s="167" t="s">
        <v>728</v>
      </c>
      <c r="D124" s="167" t="s">
        <v>148</v>
      </c>
      <c r="E124" s="167" t="s">
        <v>149</v>
      </c>
      <c r="F124" s="160" t="s">
        <v>974</v>
      </c>
      <c r="G124" s="183" t="s">
        <v>138</v>
      </c>
      <c r="H124" s="165" t="s">
        <v>977</v>
      </c>
    </row>
    <row r="125" spans="1:8" s="225" customFormat="1" ht="18">
      <c r="A125" s="164" t="s">
        <v>295</v>
      </c>
      <c r="B125" s="170" t="s">
        <v>147</v>
      </c>
      <c r="C125" s="167" t="s">
        <v>95</v>
      </c>
      <c r="D125" s="167" t="s">
        <v>584</v>
      </c>
      <c r="E125" s="167" t="s">
        <v>96</v>
      </c>
      <c r="F125" s="160" t="s">
        <v>974</v>
      </c>
      <c r="G125" s="167" t="s">
        <v>112</v>
      </c>
      <c r="H125" s="165"/>
    </row>
    <row r="126" spans="1:8" s="225" customFormat="1" ht="54">
      <c r="A126" s="164" t="s">
        <v>296</v>
      </c>
      <c r="B126" s="170" t="s">
        <v>147</v>
      </c>
      <c r="C126" s="167" t="s">
        <v>136</v>
      </c>
      <c r="D126" s="167" t="s">
        <v>148</v>
      </c>
      <c r="E126" s="167" t="s">
        <v>149</v>
      </c>
      <c r="F126" s="160" t="s">
        <v>974</v>
      </c>
      <c r="G126" s="183" t="s">
        <v>138</v>
      </c>
      <c r="H126" s="166" t="s">
        <v>977</v>
      </c>
    </row>
    <row r="127" spans="1:8" s="225" customFormat="1" ht="54">
      <c r="A127" s="164" t="s">
        <v>296</v>
      </c>
      <c r="B127" s="170" t="s">
        <v>147</v>
      </c>
      <c r="C127" s="167" t="s">
        <v>728</v>
      </c>
      <c r="D127" s="167" t="s">
        <v>148</v>
      </c>
      <c r="E127" s="167" t="s">
        <v>149</v>
      </c>
      <c r="F127" s="160" t="s">
        <v>974</v>
      </c>
      <c r="G127" s="183" t="s">
        <v>138</v>
      </c>
      <c r="H127" s="165" t="s">
        <v>977</v>
      </c>
    </row>
    <row r="128" spans="1:8" s="225" customFormat="1" ht="18">
      <c r="A128" s="164" t="s">
        <v>296</v>
      </c>
      <c r="B128" s="170" t="s">
        <v>147</v>
      </c>
      <c r="C128" s="167" t="s">
        <v>95</v>
      </c>
      <c r="D128" s="167" t="s">
        <v>584</v>
      </c>
      <c r="E128" s="167" t="s">
        <v>96</v>
      </c>
      <c r="F128" s="160" t="s">
        <v>974</v>
      </c>
      <c r="G128" s="167" t="s">
        <v>112</v>
      </c>
      <c r="H128" s="165"/>
    </row>
    <row r="129" spans="1:8" s="225" customFormat="1" ht="18">
      <c r="A129" s="164" t="s">
        <v>498</v>
      </c>
      <c r="B129" s="170" t="s">
        <v>525</v>
      </c>
      <c r="C129" s="167" t="s">
        <v>136</v>
      </c>
      <c r="D129" s="167" t="s">
        <v>163</v>
      </c>
      <c r="E129" s="167" t="s">
        <v>499</v>
      </c>
      <c r="F129" s="160" t="s">
        <v>974</v>
      </c>
      <c r="G129" s="183" t="s">
        <v>138</v>
      </c>
      <c r="H129" s="165" t="s">
        <v>130</v>
      </c>
    </row>
    <row r="130" spans="1:8" s="225" customFormat="1" ht="36">
      <c r="A130" s="164" t="s">
        <v>498</v>
      </c>
      <c r="B130" s="170" t="s">
        <v>525</v>
      </c>
      <c r="C130" s="167" t="s">
        <v>728</v>
      </c>
      <c r="D130" s="167" t="s">
        <v>109</v>
      </c>
      <c r="E130" s="167" t="s">
        <v>499</v>
      </c>
      <c r="F130" s="160" t="s">
        <v>974</v>
      </c>
      <c r="G130" s="183" t="s">
        <v>100</v>
      </c>
      <c r="H130" s="165" t="s">
        <v>130</v>
      </c>
    </row>
    <row r="131" spans="1:8" s="225" customFormat="1" ht="18">
      <c r="A131" s="164" t="s">
        <v>721</v>
      </c>
      <c r="B131" s="170" t="s">
        <v>297</v>
      </c>
      <c r="C131" s="167" t="s">
        <v>89</v>
      </c>
      <c r="D131" s="167" t="s">
        <v>200</v>
      </c>
      <c r="E131" s="167" t="s">
        <v>298</v>
      </c>
      <c r="F131" s="160" t="s">
        <v>976</v>
      </c>
      <c r="G131" s="167" t="s">
        <v>112</v>
      </c>
      <c r="H131" s="165"/>
    </row>
    <row r="132" spans="1:8" s="225" customFormat="1" ht="72">
      <c r="A132" s="164" t="s">
        <v>299</v>
      </c>
      <c r="B132" s="167" t="s">
        <v>427</v>
      </c>
      <c r="C132" s="167" t="s">
        <v>194</v>
      </c>
      <c r="D132" s="167" t="s">
        <v>567</v>
      </c>
      <c r="E132" s="167" t="s">
        <v>96</v>
      </c>
      <c r="F132" s="158" t="s">
        <v>128</v>
      </c>
      <c r="G132" s="167" t="s">
        <v>129</v>
      </c>
      <c r="H132" s="165"/>
    </row>
    <row r="133" spans="1:8" s="225" customFormat="1" ht="18">
      <c r="A133" s="164" t="s">
        <v>300</v>
      </c>
      <c r="B133" s="170" t="s">
        <v>429</v>
      </c>
      <c r="C133" s="167" t="s">
        <v>89</v>
      </c>
      <c r="D133" s="167" t="s">
        <v>302</v>
      </c>
      <c r="E133" s="167" t="s">
        <v>149</v>
      </c>
      <c r="F133" s="160" t="s">
        <v>92</v>
      </c>
      <c r="G133" s="183" t="s">
        <v>138</v>
      </c>
      <c r="H133" s="165"/>
    </row>
    <row r="134" spans="1:8" s="225" customFormat="1" ht="36">
      <c r="A134" s="164" t="s">
        <v>553</v>
      </c>
      <c r="B134" s="170" t="s">
        <v>362</v>
      </c>
      <c r="C134" s="173" t="s">
        <v>136</v>
      </c>
      <c r="D134" s="173" t="s">
        <v>200</v>
      </c>
      <c r="E134" s="173" t="s">
        <v>201</v>
      </c>
      <c r="F134" s="168" t="s">
        <v>363</v>
      </c>
      <c r="G134" s="173" t="s">
        <v>93</v>
      </c>
      <c r="H134" s="161" t="s">
        <v>364</v>
      </c>
    </row>
    <row r="135" spans="1:8" s="225" customFormat="1" ht="36">
      <c r="A135" s="164" t="s">
        <v>553</v>
      </c>
      <c r="B135" s="170" t="s">
        <v>362</v>
      </c>
      <c r="C135" s="173" t="s">
        <v>728</v>
      </c>
      <c r="D135" s="173" t="s">
        <v>200</v>
      </c>
      <c r="E135" s="173" t="s">
        <v>201</v>
      </c>
      <c r="F135" s="168" t="s">
        <v>737</v>
      </c>
      <c r="G135" s="173" t="s">
        <v>93</v>
      </c>
      <c r="H135" s="161" t="s">
        <v>364</v>
      </c>
    </row>
    <row r="136" spans="1:8" s="225" customFormat="1" ht="36">
      <c r="A136" s="164" t="s">
        <v>553</v>
      </c>
      <c r="B136" s="169" t="s">
        <v>303</v>
      </c>
      <c r="C136" s="171" t="s">
        <v>95</v>
      </c>
      <c r="D136" s="171" t="s">
        <v>578</v>
      </c>
      <c r="E136" s="171" t="s">
        <v>198</v>
      </c>
      <c r="F136" s="160" t="s">
        <v>92</v>
      </c>
      <c r="G136" s="171" t="s">
        <v>199</v>
      </c>
      <c r="H136" s="166"/>
    </row>
    <row r="137" spans="1:8" s="225" customFormat="1" ht="36">
      <c r="A137" s="164" t="s">
        <v>553</v>
      </c>
      <c r="B137" s="169" t="s">
        <v>303</v>
      </c>
      <c r="C137" s="171" t="s">
        <v>89</v>
      </c>
      <c r="D137" s="171" t="s">
        <v>765</v>
      </c>
      <c r="E137" s="171" t="s">
        <v>204</v>
      </c>
      <c r="F137" s="160" t="s">
        <v>92</v>
      </c>
      <c r="G137" s="171" t="s">
        <v>258</v>
      </c>
      <c r="H137" s="166"/>
    </row>
    <row r="138" spans="1:8" s="225" customFormat="1" ht="36">
      <c r="A138" s="164" t="s">
        <v>764</v>
      </c>
      <c r="B138" s="169" t="s">
        <v>303</v>
      </c>
      <c r="C138" s="167" t="s">
        <v>89</v>
      </c>
      <c r="D138" s="167" t="s">
        <v>200</v>
      </c>
      <c r="E138" s="167" t="s">
        <v>201</v>
      </c>
      <c r="F138" s="160" t="s">
        <v>92</v>
      </c>
      <c r="G138" s="167" t="s">
        <v>258</v>
      </c>
      <c r="H138" s="165"/>
    </row>
    <row r="139" spans="1:8" s="225" customFormat="1" ht="18">
      <c r="A139" s="164" t="s">
        <v>304</v>
      </c>
      <c r="B139" s="170" t="s">
        <v>568</v>
      </c>
      <c r="C139" s="173" t="s">
        <v>287</v>
      </c>
      <c r="D139" s="173" t="s">
        <v>288</v>
      </c>
      <c r="E139" s="173" t="s">
        <v>305</v>
      </c>
      <c r="F139" s="173" t="s">
        <v>306</v>
      </c>
      <c r="G139" s="173" t="s">
        <v>129</v>
      </c>
      <c r="H139" s="161" t="s">
        <v>307</v>
      </c>
    </row>
    <row r="140" spans="1:8" s="225" customFormat="1" ht="18">
      <c r="A140" s="164" t="s">
        <v>308</v>
      </c>
      <c r="B140" s="170" t="s">
        <v>309</v>
      </c>
      <c r="C140" s="167" t="s">
        <v>136</v>
      </c>
      <c r="D140" s="167" t="s">
        <v>200</v>
      </c>
      <c r="E140" s="167" t="s">
        <v>201</v>
      </c>
      <c r="F140" s="158" t="s">
        <v>173</v>
      </c>
      <c r="G140" s="167" t="s">
        <v>310</v>
      </c>
      <c r="H140" s="165" t="s">
        <v>569</v>
      </c>
    </row>
    <row r="141" spans="1:8" s="225" customFormat="1" ht="36">
      <c r="A141" s="164" t="s">
        <v>308</v>
      </c>
      <c r="B141" s="170" t="s">
        <v>309</v>
      </c>
      <c r="C141" s="167" t="s">
        <v>728</v>
      </c>
      <c r="D141" s="167" t="s">
        <v>200</v>
      </c>
      <c r="E141" s="167" t="s">
        <v>201</v>
      </c>
      <c r="F141" s="158" t="s">
        <v>730</v>
      </c>
      <c r="G141" s="167" t="s">
        <v>310</v>
      </c>
      <c r="H141" s="165" t="s">
        <v>569</v>
      </c>
    </row>
    <row r="142" spans="1:8" s="225" customFormat="1" ht="18">
      <c r="A142" s="164" t="s">
        <v>308</v>
      </c>
      <c r="B142" s="170" t="s">
        <v>311</v>
      </c>
      <c r="C142" s="167" t="s">
        <v>89</v>
      </c>
      <c r="D142" s="167" t="s">
        <v>200</v>
      </c>
      <c r="E142" s="167" t="s">
        <v>201</v>
      </c>
      <c r="F142" s="160" t="s">
        <v>92</v>
      </c>
      <c r="G142" s="167" t="s">
        <v>310</v>
      </c>
      <c r="H142" s="165" t="s">
        <v>569</v>
      </c>
    </row>
    <row r="143" spans="1:8" s="225" customFormat="1" ht="18">
      <c r="A143" s="164" t="s">
        <v>308</v>
      </c>
      <c r="B143" s="170" t="s">
        <v>568</v>
      </c>
      <c r="C143" s="167" t="s">
        <v>194</v>
      </c>
      <c r="D143" s="167" t="s">
        <v>133</v>
      </c>
      <c r="E143" s="167" t="s">
        <v>195</v>
      </c>
      <c r="F143" s="160" t="s">
        <v>128</v>
      </c>
      <c r="G143" s="167" t="s">
        <v>129</v>
      </c>
      <c r="H143" s="165"/>
    </row>
    <row r="144" spans="1:8" s="225" customFormat="1" ht="18">
      <c r="A144" s="164" t="s">
        <v>308</v>
      </c>
      <c r="B144" s="170" t="s">
        <v>568</v>
      </c>
      <c r="C144" s="167" t="s">
        <v>95</v>
      </c>
      <c r="D144" s="167" t="s">
        <v>578</v>
      </c>
      <c r="E144" s="167" t="s">
        <v>96</v>
      </c>
      <c r="F144" s="160" t="s">
        <v>92</v>
      </c>
      <c r="G144" s="167" t="s">
        <v>129</v>
      </c>
      <c r="H144" s="165"/>
    </row>
    <row r="145" spans="1:8" s="225" customFormat="1" ht="18">
      <c r="A145" s="164" t="s">
        <v>308</v>
      </c>
      <c r="B145" s="170" t="s">
        <v>568</v>
      </c>
      <c r="C145" s="167" t="s">
        <v>89</v>
      </c>
      <c r="D145" s="167" t="s">
        <v>200</v>
      </c>
      <c r="E145" s="167" t="s">
        <v>201</v>
      </c>
      <c r="F145" s="160" t="s">
        <v>92</v>
      </c>
      <c r="G145" s="167" t="s">
        <v>129</v>
      </c>
      <c r="H145" s="165"/>
    </row>
    <row r="146" spans="1:8" s="225" customFormat="1" ht="18">
      <c r="A146" s="164" t="s">
        <v>312</v>
      </c>
      <c r="B146" s="170" t="s">
        <v>568</v>
      </c>
      <c r="C146" s="167" t="s">
        <v>194</v>
      </c>
      <c r="D146" s="167" t="s">
        <v>133</v>
      </c>
      <c r="E146" s="167" t="s">
        <v>195</v>
      </c>
      <c r="F146" s="160" t="s">
        <v>128</v>
      </c>
      <c r="G146" s="167" t="s">
        <v>129</v>
      </c>
      <c r="H146" s="165"/>
    </row>
    <row r="147" spans="1:8" s="225" customFormat="1" ht="18">
      <c r="A147" s="164" t="s">
        <v>313</v>
      </c>
      <c r="B147" s="170" t="s">
        <v>314</v>
      </c>
      <c r="C147" s="167" t="s">
        <v>95</v>
      </c>
      <c r="D147" s="167" t="s">
        <v>579</v>
      </c>
      <c r="E147" s="167" t="s">
        <v>198</v>
      </c>
      <c r="F147" s="160" t="s">
        <v>92</v>
      </c>
      <c r="G147" s="167" t="s">
        <v>93</v>
      </c>
      <c r="H147" s="165"/>
    </row>
    <row r="148" spans="1:8" s="225" customFormat="1" ht="18">
      <c r="A148" s="164" t="s">
        <v>315</v>
      </c>
      <c r="B148" s="170" t="s">
        <v>309</v>
      </c>
      <c r="C148" s="167" t="s">
        <v>136</v>
      </c>
      <c r="D148" s="167" t="s">
        <v>200</v>
      </c>
      <c r="E148" s="167" t="s">
        <v>201</v>
      </c>
      <c r="F148" s="158" t="s">
        <v>173</v>
      </c>
      <c r="G148" s="167" t="s">
        <v>258</v>
      </c>
      <c r="H148" s="165" t="s">
        <v>316</v>
      </c>
    </row>
    <row r="149" spans="1:8" s="225" customFormat="1" ht="36">
      <c r="A149" s="164" t="s">
        <v>315</v>
      </c>
      <c r="B149" s="170" t="s">
        <v>309</v>
      </c>
      <c r="C149" s="167" t="s">
        <v>728</v>
      </c>
      <c r="D149" s="167" t="s">
        <v>200</v>
      </c>
      <c r="E149" s="167" t="s">
        <v>201</v>
      </c>
      <c r="F149" s="158" t="s">
        <v>730</v>
      </c>
      <c r="G149" s="167" t="s">
        <v>258</v>
      </c>
      <c r="H149" s="165" t="s">
        <v>316</v>
      </c>
    </row>
    <row r="150" spans="1:8" s="225" customFormat="1" ht="18">
      <c r="A150" s="164" t="s">
        <v>315</v>
      </c>
      <c r="B150" s="170" t="s">
        <v>311</v>
      </c>
      <c r="C150" s="167" t="s">
        <v>89</v>
      </c>
      <c r="D150" s="167" t="s">
        <v>200</v>
      </c>
      <c r="E150" s="167" t="s">
        <v>201</v>
      </c>
      <c r="F150" s="160" t="s">
        <v>92</v>
      </c>
      <c r="G150" s="167" t="s">
        <v>258</v>
      </c>
      <c r="H150" s="165" t="s">
        <v>316</v>
      </c>
    </row>
    <row r="151" spans="1:8" s="225" customFormat="1" ht="18">
      <c r="A151" s="164" t="s">
        <v>315</v>
      </c>
      <c r="B151" s="167" t="s">
        <v>317</v>
      </c>
      <c r="C151" s="167" t="s">
        <v>194</v>
      </c>
      <c r="D151" s="167" t="s">
        <v>133</v>
      </c>
      <c r="E151" s="167" t="s">
        <v>195</v>
      </c>
      <c r="F151" s="158" t="s">
        <v>128</v>
      </c>
      <c r="G151" s="167" t="s">
        <v>129</v>
      </c>
      <c r="H151" s="165"/>
    </row>
    <row r="152" spans="1:8" s="225" customFormat="1" ht="18">
      <c r="A152" s="164" t="s">
        <v>315</v>
      </c>
      <c r="B152" s="167" t="s">
        <v>317</v>
      </c>
      <c r="C152" s="167" t="s">
        <v>95</v>
      </c>
      <c r="D152" s="167" t="s">
        <v>578</v>
      </c>
      <c r="E152" s="167" t="s">
        <v>198</v>
      </c>
      <c r="F152" s="160" t="s">
        <v>92</v>
      </c>
      <c r="G152" s="167" t="s">
        <v>199</v>
      </c>
      <c r="H152" s="165"/>
    </row>
    <row r="153" spans="1:8" s="225" customFormat="1" ht="18">
      <c r="A153" s="164" t="s">
        <v>315</v>
      </c>
      <c r="B153" s="167" t="s">
        <v>317</v>
      </c>
      <c r="C153" s="167" t="s">
        <v>89</v>
      </c>
      <c r="D153" s="167" t="s">
        <v>200</v>
      </c>
      <c r="E153" s="167" t="s">
        <v>201</v>
      </c>
      <c r="F153" s="160" t="s">
        <v>92</v>
      </c>
      <c r="G153" s="167" t="s">
        <v>258</v>
      </c>
      <c r="H153" s="165"/>
    </row>
    <row r="154" spans="1:8" s="225" customFormat="1" ht="54">
      <c r="A154" s="164" t="s">
        <v>911</v>
      </c>
      <c r="B154" s="164" t="s">
        <v>1153</v>
      </c>
      <c r="C154" s="167" t="s">
        <v>1155</v>
      </c>
      <c r="D154" s="167" t="s">
        <v>223</v>
      </c>
      <c r="E154" s="167" t="s">
        <v>1156</v>
      </c>
      <c r="F154" s="160" t="s">
        <v>92</v>
      </c>
      <c r="G154" s="167" t="s">
        <v>112</v>
      </c>
      <c r="H154" s="165" t="s">
        <v>915</v>
      </c>
    </row>
    <row r="155" spans="1:8" s="225" customFormat="1" ht="36">
      <c r="A155" s="164" t="s">
        <v>911</v>
      </c>
      <c r="B155" s="450" t="s">
        <v>1154</v>
      </c>
      <c r="C155" s="167" t="s">
        <v>136</v>
      </c>
      <c r="D155" s="167" t="s">
        <v>765</v>
      </c>
      <c r="E155" s="167" t="s">
        <v>1157</v>
      </c>
      <c r="F155" s="160" t="s">
        <v>917</v>
      </c>
      <c r="G155" s="167" t="s">
        <v>93</v>
      </c>
      <c r="H155" s="165" t="s">
        <v>916</v>
      </c>
    </row>
    <row r="156" spans="1:8" s="225" customFormat="1" ht="36">
      <c r="A156" s="164" t="s">
        <v>911</v>
      </c>
      <c r="B156" s="164" t="s">
        <v>1153</v>
      </c>
      <c r="C156" s="167" t="s">
        <v>913</v>
      </c>
      <c r="D156" s="167" t="s">
        <v>1160</v>
      </c>
      <c r="E156" s="167" t="s">
        <v>1158</v>
      </c>
      <c r="F156" s="160" t="s">
        <v>92</v>
      </c>
      <c r="G156" s="167" t="s">
        <v>112</v>
      </c>
      <c r="H156" s="165" t="s">
        <v>916</v>
      </c>
    </row>
    <row r="157" spans="1:8" s="225" customFormat="1" ht="36">
      <c r="A157" s="164" t="s">
        <v>911</v>
      </c>
      <c r="B157" s="449" t="s">
        <v>912</v>
      </c>
      <c r="C157" s="451" t="s">
        <v>914</v>
      </c>
      <c r="D157" s="167" t="s">
        <v>1161</v>
      </c>
      <c r="E157" s="167" t="s">
        <v>1159</v>
      </c>
      <c r="F157" s="160" t="s">
        <v>92</v>
      </c>
      <c r="G157" s="167" t="s">
        <v>1103</v>
      </c>
      <c r="H157" s="165" t="s">
        <v>916</v>
      </c>
    </row>
    <row r="158" spans="1:8" s="225" customFormat="1" ht="18">
      <c r="A158" s="164" t="s">
        <v>318</v>
      </c>
      <c r="B158" s="170" t="s">
        <v>319</v>
      </c>
      <c r="C158" s="167" t="s">
        <v>89</v>
      </c>
      <c r="D158" s="167" t="s">
        <v>549</v>
      </c>
      <c r="E158" s="167" t="s">
        <v>91</v>
      </c>
      <c r="F158" s="160" t="s">
        <v>92</v>
      </c>
      <c r="G158" s="167" t="s">
        <v>770</v>
      </c>
      <c r="H158" s="165" t="s">
        <v>320</v>
      </c>
    </row>
    <row r="159" spans="1:8" s="225" customFormat="1" ht="18">
      <c r="A159" s="164" t="s">
        <v>321</v>
      </c>
      <c r="B159" s="170" t="s">
        <v>555</v>
      </c>
      <c r="C159" s="167" t="s">
        <v>103</v>
      </c>
      <c r="D159" s="167" t="s">
        <v>181</v>
      </c>
      <c r="E159" s="167" t="s">
        <v>96</v>
      </c>
      <c r="F159" s="160" t="s">
        <v>128</v>
      </c>
      <c r="G159" s="167" t="s">
        <v>770</v>
      </c>
      <c r="H159" s="165"/>
    </row>
    <row r="160" spans="1:8" s="225" customFormat="1" ht="18">
      <c r="A160" s="164" t="s">
        <v>321</v>
      </c>
      <c r="B160" s="170" t="s">
        <v>556</v>
      </c>
      <c r="C160" s="167" t="s">
        <v>104</v>
      </c>
      <c r="D160" s="167" t="s">
        <v>285</v>
      </c>
      <c r="E160" s="167" t="s">
        <v>96</v>
      </c>
      <c r="F160" s="160" t="s">
        <v>128</v>
      </c>
      <c r="G160" s="167" t="s">
        <v>770</v>
      </c>
      <c r="H160" s="165"/>
    </row>
    <row r="161" spans="1:8" s="225" customFormat="1" ht="54">
      <c r="A161" s="164" t="s">
        <v>502</v>
      </c>
      <c r="B161" s="170" t="s">
        <v>503</v>
      </c>
      <c r="C161" s="167" t="s">
        <v>136</v>
      </c>
      <c r="D161" s="167" t="s">
        <v>573</v>
      </c>
      <c r="E161" s="167" t="s">
        <v>1162</v>
      </c>
      <c r="F161" s="158" t="s">
        <v>504</v>
      </c>
      <c r="G161" s="167" t="s">
        <v>505</v>
      </c>
      <c r="H161" s="165" t="s">
        <v>905</v>
      </c>
    </row>
    <row r="162" spans="1:8" s="225" customFormat="1" ht="54">
      <c r="A162" s="164" t="s">
        <v>502</v>
      </c>
      <c r="B162" s="170" t="s">
        <v>503</v>
      </c>
      <c r="C162" s="167" t="s">
        <v>728</v>
      </c>
      <c r="D162" s="167" t="s">
        <v>573</v>
      </c>
      <c r="E162" s="167" t="s">
        <v>1162</v>
      </c>
      <c r="F162" s="158" t="s">
        <v>738</v>
      </c>
      <c r="G162" s="167" t="s">
        <v>505</v>
      </c>
      <c r="H162" s="165" t="s">
        <v>905</v>
      </c>
    </row>
    <row r="163" spans="1:8" s="225" customFormat="1" ht="90">
      <c r="A163" s="164" t="s">
        <v>322</v>
      </c>
      <c r="B163" s="167" t="s">
        <v>323</v>
      </c>
      <c r="C163" s="167" t="s">
        <v>136</v>
      </c>
      <c r="D163" s="167" t="s">
        <v>572</v>
      </c>
      <c r="E163" s="167" t="s">
        <v>1163</v>
      </c>
      <c r="F163" s="158" t="s">
        <v>1164</v>
      </c>
      <c r="G163" s="167" t="s">
        <v>325</v>
      </c>
      <c r="H163" s="165" t="s">
        <v>909</v>
      </c>
    </row>
    <row r="164" spans="1:8" s="225" customFormat="1" ht="72">
      <c r="A164" s="164" t="s">
        <v>322</v>
      </c>
      <c r="B164" s="167" t="s">
        <v>323</v>
      </c>
      <c r="C164" s="167" t="s">
        <v>728</v>
      </c>
      <c r="D164" s="167" t="s">
        <v>572</v>
      </c>
      <c r="E164" s="167" t="s">
        <v>324</v>
      </c>
      <c r="F164" s="158" t="s">
        <v>1165</v>
      </c>
      <c r="G164" s="167" t="s">
        <v>325</v>
      </c>
      <c r="H164" s="165" t="s">
        <v>910</v>
      </c>
    </row>
    <row r="165" spans="1:8" s="225" customFormat="1" ht="18">
      <c r="A165" s="164" t="s">
        <v>601</v>
      </c>
      <c r="B165" s="167" t="s">
        <v>602</v>
      </c>
      <c r="C165" s="167" t="s">
        <v>89</v>
      </c>
      <c r="D165" s="167" t="s">
        <v>163</v>
      </c>
      <c r="E165" s="167" t="s">
        <v>603</v>
      </c>
      <c r="F165" s="160" t="s">
        <v>111</v>
      </c>
      <c r="G165" s="167" t="s">
        <v>112</v>
      </c>
      <c r="H165" s="165" t="s">
        <v>130</v>
      </c>
    </row>
    <row r="166" spans="1:8" s="225" customFormat="1" ht="18">
      <c r="A166" s="164" t="s">
        <v>326</v>
      </c>
      <c r="B166" s="170" t="s">
        <v>327</v>
      </c>
      <c r="C166" s="167" t="s">
        <v>89</v>
      </c>
      <c r="D166" s="167" t="s">
        <v>328</v>
      </c>
      <c r="E166" s="167" t="s">
        <v>91</v>
      </c>
      <c r="F166" s="160" t="s">
        <v>111</v>
      </c>
      <c r="G166" s="167" t="s">
        <v>112</v>
      </c>
      <c r="H166" s="165"/>
    </row>
    <row r="167" spans="1:8" s="225" customFormat="1" ht="72">
      <c r="A167" s="164" t="s">
        <v>329</v>
      </c>
      <c r="B167" s="170" t="s">
        <v>430</v>
      </c>
      <c r="C167" s="167" t="s">
        <v>89</v>
      </c>
      <c r="D167" s="171" t="s">
        <v>574</v>
      </c>
      <c r="E167" s="167" t="s">
        <v>1166</v>
      </c>
      <c r="F167" s="160" t="s">
        <v>699</v>
      </c>
      <c r="G167" s="183" t="s">
        <v>526</v>
      </c>
      <c r="H167" s="165"/>
    </row>
    <row r="168" spans="1:8" s="225" customFormat="1" ht="54">
      <c r="A168" s="172" t="s">
        <v>1167</v>
      </c>
      <c r="B168" s="169" t="s">
        <v>645</v>
      </c>
      <c r="C168" s="171" t="s">
        <v>136</v>
      </c>
      <c r="D168" s="171" t="s">
        <v>646</v>
      </c>
      <c r="E168" s="171" t="s">
        <v>647</v>
      </c>
      <c r="F168" s="162" t="s">
        <v>703</v>
      </c>
      <c r="G168" s="171" t="s">
        <v>252</v>
      </c>
      <c r="H168" s="166" t="s">
        <v>130</v>
      </c>
    </row>
    <row r="169" spans="1:8" s="230" customFormat="1" ht="18">
      <c r="A169" s="172" t="s">
        <v>330</v>
      </c>
      <c r="B169" s="169" t="s">
        <v>644</v>
      </c>
      <c r="C169" s="171" t="s">
        <v>89</v>
      </c>
      <c r="D169" s="176" t="s">
        <v>331</v>
      </c>
      <c r="E169" s="171" t="s">
        <v>332</v>
      </c>
      <c r="F169" s="160" t="s">
        <v>703</v>
      </c>
      <c r="G169" s="171" t="s">
        <v>274</v>
      </c>
      <c r="H169" s="166" t="s">
        <v>130</v>
      </c>
    </row>
    <row r="170" spans="1:8" s="230" customFormat="1" ht="36">
      <c r="A170" s="172" t="s">
        <v>333</v>
      </c>
      <c r="B170" s="169" t="s">
        <v>334</v>
      </c>
      <c r="C170" s="171" t="s">
        <v>89</v>
      </c>
      <c r="D170" s="171" t="s">
        <v>649</v>
      </c>
      <c r="E170" s="171" t="s">
        <v>648</v>
      </c>
      <c r="F170" s="160" t="s">
        <v>92</v>
      </c>
      <c r="G170" s="239" t="s">
        <v>650</v>
      </c>
      <c r="H170" s="166" t="s">
        <v>130</v>
      </c>
    </row>
    <row r="171" spans="1:8" s="225" customFormat="1" ht="18">
      <c r="A171" s="164" t="s">
        <v>335</v>
      </c>
      <c r="B171" s="170" t="s">
        <v>336</v>
      </c>
      <c r="C171" s="167" t="s">
        <v>89</v>
      </c>
      <c r="D171" s="167" t="s">
        <v>181</v>
      </c>
      <c r="E171" s="167" t="s">
        <v>149</v>
      </c>
      <c r="F171" s="160" t="s">
        <v>92</v>
      </c>
      <c r="G171" s="183" t="s">
        <v>219</v>
      </c>
      <c r="H171" s="165" t="s">
        <v>320</v>
      </c>
    </row>
    <row r="172" spans="1:8" s="225" customFormat="1" ht="18">
      <c r="A172" s="164" t="s">
        <v>337</v>
      </c>
      <c r="B172" s="170" t="s">
        <v>338</v>
      </c>
      <c r="C172" s="167" t="s">
        <v>89</v>
      </c>
      <c r="D172" s="167" t="s">
        <v>181</v>
      </c>
      <c r="E172" s="167" t="s">
        <v>149</v>
      </c>
      <c r="F172" s="160" t="s">
        <v>92</v>
      </c>
      <c r="G172" s="183" t="s">
        <v>219</v>
      </c>
      <c r="H172" s="165" t="s">
        <v>320</v>
      </c>
    </row>
    <row r="173" spans="1:8" s="225" customFormat="1" ht="18">
      <c r="A173" s="164" t="s">
        <v>339</v>
      </c>
      <c r="B173" s="170" t="s">
        <v>340</v>
      </c>
      <c r="C173" s="167" t="s">
        <v>194</v>
      </c>
      <c r="D173" s="167" t="s">
        <v>133</v>
      </c>
      <c r="E173" s="170" t="s">
        <v>195</v>
      </c>
      <c r="F173" s="160" t="s">
        <v>128</v>
      </c>
      <c r="G173" s="167" t="s">
        <v>129</v>
      </c>
      <c r="H173" s="165" t="s">
        <v>341</v>
      </c>
    </row>
    <row r="174" spans="1:8" s="225" customFormat="1" ht="18">
      <c r="A174" s="164" t="s">
        <v>339</v>
      </c>
      <c r="B174" s="240" t="s">
        <v>340</v>
      </c>
      <c r="C174" s="167" t="s">
        <v>95</v>
      </c>
      <c r="D174" s="241" t="s">
        <v>585</v>
      </c>
      <c r="E174" s="174" t="s">
        <v>198</v>
      </c>
      <c r="F174" s="160" t="s">
        <v>92</v>
      </c>
      <c r="G174" s="167" t="s">
        <v>199</v>
      </c>
      <c r="H174" s="242" t="s">
        <v>341</v>
      </c>
    </row>
    <row r="175" spans="1:8" s="225" customFormat="1" ht="36">
      <c r="A175" s="164" t="s">
        <v>1170</v>
      </c>
      <c r="B175" s="170" t="s">
        <v>342</v>
      </c>
      <c r="C175" s="167" t="s">
        <v>89</v>
      </c>
      <c r="D175" s="167" t="s">
        <v>203</v>
      </c>
      <c r="E175" s="170" t="s">
        <v>204</v>
      </c>
      <c r="F175" s="160" t="s">
        <v>202</v>
      </c>
      <c r="G175" s="167" t="s">
        <v>199</v>
      </c>
      <c r="H175" s="165" t="s">
        <v>341</v>
      </c>
    </row>
    <row r="176" spans="1:8" s="225" customFormat="1" ht="36">
      <c r="A176" s="164" t="s">
        <v>339</v>
      </c>
      <c r="B176" s="170" t="s">
        <v>340</v>
      </c>
      <c r="C176" s="167" t="s">
        <v>89</v>
      </c>
      <c r="D176" s="167" t="s">
        <v>200</v>
      </c>
      <c r="E176" s="170" t="s">
        <v>201</v>
      </c>
      <c r="F176" s="160" t="s">
        <v>1168</v>
      </c>
      <c r="G176" s="167" t="s">
        <v>199</v>
      </c>
      <c r="H176" s="165" t="s">
        <v>1169</v>
      </c>
    </row>
    <row r="177" spans="1:8" s="225" customFormat="1" ht="18">
      <c r="A177" s="164" t="s">
        <v>343</v>
      </c>
      <c r="B177" s="170" t="s">
        <v>344</v>
      </c>
      <c r="C177" s="167" t="s">
        <v>89</v>
      </c>
      <c r="D177" s="167" t="s">
        <v>152</v>
      </c>
      <c r="E177" s="167" t="s">
        <v>375</v>
      </c>
      <c r="F177" s="160" t="s">
        <v>92</v>
      </c>
      <c r="G177" s="167" t="s">
        <v>155</v>
      </c>
      <c r="H177" s="165"/>
    </row>
    <row r="178" spans="1:8" s="225" customFormat="1" ht="18">
      <c r="A178" s="164" t="s">
        <v>345</v>
      </c>
      <c r="B178" s="240" t="s">
        <v>346</v>
      </c>
      <c r="C178" s="167" t="s">
        <v>89</v>
      </c>
      <c r="D178" s="241" t="s">
        <v>347</v>
      </c>
      <c r="E178" s="173" t="s">
        <v>348</v>
      </c>
      <c r="F178" s="160" t="s">
        <v>92</v>
      </c>
      <c r="G178" s="167" t="s">
        <v>155</v>
      </c>
      <c r="H178" s="242" t="s">
        <v>349</v>
      </c>
    </row>
    <row r="179" spans="1:8" s="225" customFormat="1" ht="18">
      <c r="A179" s="164" t="s">
        <v>350</v>
      </c>
      <c r="B179" s="174" t="s">
        <v>351</v>
      </c>
      <c r="C179" s="173" t="s">
        <v>89</v>
      </c>
      <c r="D179" s="173" t="s">
        <v>200</v>
      </c>
      <c r="E179" s="173" t="s">
        <v>972</v>
      </c>
      <c r="F179" s="160" t="s">
        <v>92</v>
      </c>
      <c r="G179" s="184" t="s">
        <v>138</v>
      </c>
      <c r="H179" s="161" t="s">
        <v>973</v>
      </c>
    </row>
    <row r="180" spans="1:8" s="225" customFormat="1" ht="36">
      <c r="A180" s="164" t="s">
        <v>352</v>
      </c>
      <c r="B180" s="240" t="s">
        <v>353</v>
      </c>
      <c r="C180" s="167" t="s">
        <v>89</v>
      </c>
      <c r="D180" s="241" t="s">
        <v>200</v>
      </c>
      <c r="E180" s="173" t="s">
        <v>348</v>
      </c>
      <c r="F180" s="160" t="s">
        <v>92</v>
      </c>
      <c r="G180" s="167" t="s">
        <v>155</v>
      </c>
      <c r="H180" s="242" t="s">
        <v>349</v>
      </c>
    </row>
    <row r="181" spans="1:8" s="225" customFormat="1" ht="18">
      <c r="A181" s="175" t="s">
        <v>354</v>
      </c>
      <c r="B181" s="174" t="s">
        <v>355</v>
      </c>
      <c r="C181" s="173" t="s">
        <v>89</v>
      </c>
      <c r="D181" s="173" t="s">
        <v>152</v>
      </c>
      <c r="E181" s="173" t="s">
        <v>91</v>
      </c>
      <c r="F181" s="160" t="s">
        <v>92</v>
      </c>
      <c r="G181" s="173" t="s">
        <v>155</v>
      </c>
      <c r="H181" s="242"/>
    </row>
    <row r="182" spans="1:8" s="225" customFormat="1" ht="18">
      <c r="A182" s="175" t="s">
        <v>356</v>
      </c>
      <c r="B182" s="174" t="s">
        <v>353</v>
      </c>
      <c r="C182" s="173" t="s">
        <v>89</v>
      </c>
      <c r="D182" s="173" t="s">
        <v>152</v>
      </c>
      <c r="E182" s="173" t="s">
        <v>91</v>
      </c>
      <c r="F182" s="160" t="s">
        <v>92</v>
      </c>
      <c r="G182" s="173" t="s">
        <v>155</v>
      </c>
      <c r="H182" s="242"/>
    </row>
    <row r="183" spans="1:8" s="225" customFormat="1" ht="18">
      <c r="A183" s="175" t="s">
        <v>357</v>
      </c>
      <c r="B183" s="174" t="s">
        <v>183</v>
      </c>
      <c r="C183" s="173" t="s">
        <v>89</v>
      </c>
      <c r="D183" s="173" t="s">
        <v>554</v>
      </c>
      <c r="E183" s="173" t="s">
        <v>91</v>
      </c>
      <c r="F183" s="160" t="s">
        <v>92</v>
      </c>
      <c r="G183" s="173" t="s">
        <v>112</v>
      </c>
      <c r="H183" s="161"/>
    </row>
    <row r="184" spans="1:8" s="225" customFormat="1" ht="18">
      <c r="A184" s="175" t="s">
        <v>358</v>
      </c>
      <c r="B184" s="174" t="s">
        <v>301</v>
      </c>
      <c r="C184" s="173" t="s">
        <v>89</v>
      </c>
      <c r="D184" s="173" t="s">
        <v>148</v>
      </c>
      <c r="E184" s="173" t="s">
        <v>149</v>
      </c>
      <c r="F184" s="160" t="s">
        <v>92</v>
      </c>
      <c r="G184" s="173" t="s">
        <v>112</v>
      </c>
      <c r="H184" s="161"/>
    </row>
    <row r="185" spans="1:8" s="225" customFormat="1" ht="54">
      <c r="A185" s="175" t="s">
        <v>359</v>
      </c>
      <c r="B185" s="173" t="s">
        <v>1138</v>
      </c>
      <c r="C185" s="173" t="s">
        <v>136</v>
      </c>
      <c r="D185" s="173" t="s">
        <v>1172</v>
      </c>
      <c r="E185" s="173" t="s">
        <v>1173</v>
      </c>
      <c r="F185" s="173" t="s">
        <v>360</v>
      </c>
      <c r="G185" s="184" t="s">
        <v>1136</v>
      </c>
      <c r="H185" s="161" t="s">
        <v>1137</v>
      </c>
    </row>
    <row r="186" spans="1:8" s="225" customFormat="1" ht="54">
      <c r="A186" s="175" t="s">
        <v>359</v>
      </c>
      <c r="B186" s="173" t="s">
        <v>1139</v>
      </c>
      <c r="C186" s="173" t="s">
        <v>728</v>
      </c>
      <c r="D186" s="173" t="s">
        <v>1172</v>
      </c>
      <c r="E186" s="173" t="s">
        <v>1173</v>
      </c>
      <c r="F186" s="173" t="s">
        <v>739</v>
      </c>
      <c r="G186" s="184" t="s">
        <v>1136</v>
      </c>
      <c r="H186" s="161" t="s">
        <v>905</v>
      </c>
    </row>
    <row r="187" spans="1:8" s="225" customFormat="1" ht="36">
      <c r="A187" s="175" t="s">
        <v>361</v>
      </c>
      <c r="B187" s="174" t="s">
        <v>362</v>
      </c>
      <c r="C187" s="173" t="s">
        <v>136</v>
      </c>
      <c r="D187" s="173" t="s">
        <v>200</v>
      </c>
      <c r="E187" s="173" t="s">
        <v>201</v>
      </c>
      <c r="F187" s="168" t="s">
        <v>363</v>
      </c>
      <c r="G187" s="173" t="s">
        <v>199</v>
      </c>
      <c r="H187" s="161" t="s">
        <v>364</v>
      </c>
    </row>
    <row r="188" spans="1:8" s="225" customFormat="1" ht="36">
      <c r="A188" s="175" t="s">
        <v>361</v>
      </c>
      <c r="B188" s="174" t="s">
        <v>362</v>
      </c>
      <c r="C188" s="173" t="s">
        <v>728</v>
      </c>
      <c r="D188" s="173" t="s">
        <v>200</v>
      </c>
      <c r="E188" s="173" t="s">
        <v>201</v>
      </c>
      <c r="F188" s="168" t="s">
        <v>737</v>
      </c>
      <c r="G188" s="173" t="s">
        <v>199</v>
      </c>
      <c r="H188" s="161" t="s">
        <v>364</v>
      </c>
    </row>
    <row r="189" spans="1:8" s="225" customFormat="1" ht="36">
      <c r="A189" s="175" t="s">
        <v>361</v>
      </c>
      <c r="B189" s="174" t="s">
        <v>1174</v>
      </c>
      <c r="C189" s="173" t="s">
        <v>89</v>
      </c>
      <c r="D189" s="173" t="s">
        <v>200</v>
      </c>
      <c r="E189" s="173" t="s">
        <v>201</v>
      </c>
      <c r="F189" s="160" t="s">
        <v>92</v>
      </c>
      <c r="G189" s="173" t="s">
        <v>258</v>
      </c>
      <c r="H189" s="161"/>
    </row>
    <row r="190" spans="1:8" s="225" customFormat="1" ht="36">
      <c r="A190" s="175" t="s">
        <v>361</v>
      </c>
      <c r="B190" s="174" t="s">
        <v>365</v>
      </c>
      <c r="C190" s="173" t="s">
        <v>95</v>
      </c>
      <c r="D190" s="173" t="s">
        <v>578</v>
      </c>
      <c r="E190" s="173" t="s">
        <v>198</v>
      </c>
      <c r="F190" s="160" t="s">
        <v>92</v>
      </c>
      <c r="G190" s="173" t="s">
        <v>199</v>
      </c>
      <c r="H190" s="161"/>
    </row>
    <row r="191" spans="1:8" s="225" customFormat="1" ht="36">
      <c r="A191" s="175" t="s">
        <v>361</v>
      </c>
      <c r="B191" s="174" t="s">
        <v>365</v>
      </c>
      <c r="C191" s="173" t="s">
        <v>89</v>
      </c>
      <c r="D191" s="173" t="s">
        <v>200</v>
      </c>
      <c r="E191" s="173" t="s">
        <v>201</v>
      </c>
      <c r="F191" s="160" t="s">
        <v>92</v>
      </c>
      <c r="G191" s="173" t="s">
        <v>258</v>
      </c>
      <c r="H191" s="161"/>
    </row>
    <row r="192" spans="1:8" s="225" customFormat="1" ht="36">
      <c r="A192" s="175" t="s">
        <v>366</v>
      </c>
      <c r="B192" s="177"/>
      <c r="C192" s="177"/>
      <c r="D192" s="177"/>
      <c r="E192" s="177"/>
      <c r="F192" s="177"/>
      <c r="G192" s="177"/>
      <c r="H192" s="243"/>
    </row>
    <row r="193" spans="1:8" s="225" customFormat="1" ht="36">
      <c r="A193" s="175" t="s">
        <v>527</v>
      </c>
      <c r="B193" s="244"/>
      <c r="C193" s="177"/>
      <c r="D193" s="177"/>
      <c r="E193" s="177"/>
      <c r="F193" s="244"/>
      <c r="G193" s="177"/>
      <c r="H193" s="237"/>
    </row>
    <row r="194" spans="1:8" s="225" customFormat="1" ht="36">
      <c r="A194" s="175" t="s">
        <v>367</v>
      </c>
      <c r="B194" s="244"/>
      <c r="C194" s="177"/>
      <c r="D194" s="177"/>
      <c r="E194" s="177"/>
      <c r="F194" s="244"/>
      <c r="G194" s="177"/>
      <c r="H194" s="237"/>
    </row>
    <row r="195" spans="1:8" s="225" customFormat="1" ht="18">
      <c r="A195" s="175" t="s">
        <v>368</v>
      </c>
      <c r="B195" s="174" t="s">
        <v>369</v>
      </c>
      <c r="C195" s="173" t="s">
        <v>103</v>
      </c>
      <c r="D195" s="173" t="s">
        <v>152</v>
      </c>
      <c r="E195" s="173" t="s">
        <v>215</v>
      </c>
      <c r="F195" s="160" t="s">
        <v>128</v>
      </c>
      <c r="G195" s="173" t="s">
        <v>129</v>
      </c>
      <c r="H195" s="161"/>
    </row>
    <row r="196" spans="1:8" s="225" customFormat="1" ht="18">
      <c r="A196" s="175" t="s">
        <v>370</v>
      </c>
      <c r="B196" s="168" t="s">
        <v>371</v>
      </c>
      <c r="C196" s="177"/>
      <c r="D196" s="177"/>
      <c r="E196" s="177"/>
      <c r="F196" s="236"/>
      <c r="G196" s="177"/>
      <c r="H196" s="237"/>
    </row>
    <row r="197" spans="1:8" s="225" customFormat="1" ht="18">
      <c r="A197" s="175" t="s">
        <v>372</v>
      </c>
      <c r="B197" s="160" t="s">
        <v>147</v>
      </c>
      <c r="C197" s="173" t="s">
        <v>95</v>
      </c>
      <c r="D197" s="173" t="s">
        <v>584</v>
      </c>
      <c r="E197" s="173" t="s">
        <v>96</v>
      </c>
      <c r="F197" s="160" t="s">
        <v>92</v>
      </c>
      <c r="G197" s="173" t="s">
        <v>112</v>
      </c>
      <c r="H197" s="161"/>
    </row>
    <row r="198" spans="1:8" s="225" customFormat="1" ht="18">
      <c r="A198" s="175" t="s">
        <v>372</v>
      </c>
      <c r="B198" s="160" t="s">
        <v>147</v>
      </c>
      <c r="C198" s="173" t="s">
        <v>89</v>
      </c>
      <c r="D198" s="173" t="s">
        <v>148</v>
      </c>
      <c r="E198" s="173" t="s">
        <v>149</v>
      </c>
      <c r="F198" s="160" t="s">
        <v>92</v>
      </c>
      <c r="G198" s="173" t="s">
        <v>112</v>
      </c>
      <c r="H198" s="161"/>
    </row>
    <row r="199" spans="1:8" s="225" customFormat="1" ht="36">
      <c r="A199" s="175" t="s">
        <v>373</v>
      </c>
      <c r="B199" s="174" t="s">
        <v>374</v>
      </c>
      <c r="C199" s="173" t="s">
        <v>89</v>
      </c>
      <c r="D199" s="173" t="s">
        <v>328</v>
      </c>
      <c r="E199" s="173" t="s">
        <v>375</v>
      </c>
      <c r="F199" s="160" t="s">
        <v>376</v>
      </c>
      <c r="G199" s="173" t="s">
        <v>155</v>
      </c>
      <c r="H199" s="161"/>
    </row>
    <row r="200" spans="1:8" s="230" customFormat="1" ht="18">
      <c r="A200" s="180" t="s">
        <v>377</v>
      </c>
      <c r="B200" s="168" t="s">
        <v>378</v>
      </c>
      <c r="C200" s="176" t="s">
        <v>89</v>
      </c>
      <c r="D200" s="176" t="s">
        <v>126</v>
      </c>
      <c r="E200" s="176" t="s">
        <v>379</v>
      </c>
      <c r="F200" s="162" t="s">
        <v>380</v>
      </c>
      <c r="G200" s="176" t="s">
        <v>219</v>
      </c>
      <c r="H200" s="231" t="s">
        <v>130</v>
      </c>
    </row>
    <row r="201" spans="1:8" s="230" customFormat="1" ht="54">
      <c r="A201" s="180" t="s">
        <v>594</v>
      </c>
      <c r="B201" s="168" t="s">
        <v>595</v>
      </c>
      <c r="C201" s="176" t="s">
        <v>95</v>
      </c>
      <c r="D201" s="176" t="s">
        <v>596</v>
      </c>
      <c r="E201" s="176" t="s">
        <v>386</v>
      </c>
      <c r="F201" s="160" t="s">
        <v>92</v>
      </c>
      <c r="G201" s="176" t="s">
        <v>199</v>
      </c>
      <c r="H201" s="231"/>
    </row>
    <row r="202" spans="1:8" s="230" customFormat="1" ht="18">
      <c r="A202" s="180" t="s">
        <v>594</v>
      </c>
      <c r="B202" s="168" t="s">
        <v>595</v>
      </c>
      <c r="C202" s="176" t="s">
        <v>89</v>
      </c>
      <c r="D202" s="176" t="s">
        <v>200</v>
      </c>
      <c r="E202" s="176" t="s">
        <v>201</v>
      </c>
      <c r="F202" s="160" t="s">
        <v>92</v>
      </c>
      <c r="G202" s="176" t="s">
        <v>258</v>
      </c>
      <c r="H202" s="231"/>
    </row>
    <row r="203" spans="1:8" s="230" customFormat="1" ht="18">
      <c r="A203" s="175" t="s">
        <v>615</v>
      </c>
      <c r="B203" s="173" t="s">
        <v>560</v>
      </c>
      <c r="C203" s="173" t="s">
        <v>194</v>
      </c>
      <c r="D203" s="173" t="s">
        <v>401</v>
      </c>
      <c r="E203" s="173" t="s">
        <v>576</v>
      </c>
      <c r="F203" s="173" t="s">
        <v>128</v>
      </c>
      <c r="G203" s="173" t="s">
        <v>129</v>
      </c>
      <c r="H203" s="161" t="s">
        <v>130</v>
      </c>
    </row>
    <row r="204" spans="1:8" s="225" customFormat="1" ht="18">
      <c r="A204" s="175" t="s">
        <v>381</v>
      </c>
      <c r="B204" s="174" t="s">
        <v>382</v>
      </c>
      <c r="C204" s="173" t="s">
        <v>89</v>
      </c>
      <c r="D204" s="173" t="s">
        <v>152</v>
      </c>
      <c r="E204" s="173" t="s">
        <v>780</v>
      </c>
      <c r="F204" s="160" t="s">
        <v>92</v>
      </c>
      <c r="G204" s="184" t="s">
        <v>138</v>
      </c>
      <c r="H204" s="161" t="s">
        <v>130</v>
      </c>
    </row>
    <row r="205" spans="1:8" s="225" customFormat="1" ht="36">
      <c r="A205" s="175" t="s">
        <v>383</v>
      </c>
      <c r="B205" s="244"/>
      <c r="C205" s="177"/>
      <c r="D205" s="177"/>
      <c r="E205" s="177"/>
      <c r="F205" s="244"/>
      <c r="G205" s="177"/>
      <c r="H205" s="237"/>
    </row>
    <row r="206" spans="1:8" s="225" customFormat="1" ht="36">
      <c r="A206" s="175" t="s">
        <v>591</v>
      </c>
      <c r="B206" s="173" t="s">
        <v>592</v>
      </c>
      <c r="C206" s="173" t="s">
        <v>89</v>
      </c>
      <c r="D206" s="173" t="s">
        <v>90</v>
      </c>
      <c r="E206" s="173" t="s">
        <v>153</v>
      </c>
      <c r="F206" s="160" t="s">
        <v>202</v>
      </c>
      <c r="G206" s="173" t="s">
        <v>93</v>
      </c>
      <c r="H206" s="161" t="s">
        <v>418</v>
      </c>
    </row>
    <row r="207" spans="1:8" s="225" customFormat="1" ht="36">
      <c r="A207" s="175" t="s">
        <v>593</v>
      </c>
      <c r="B207" s="167" t="s">
        <v>303</v>
      </c>
      <c r="C207" s="167" t="s">
        <v>89</v>
      </c>
      <c r="D207" s="167" t="s">
        <v>765</v>
      </c>
      <c r="E207" s="167" t="s">
        <v>204</v>
      </c>
      <c r="F207" s="160" t="s">
        <v>92</v>
      </c>
      <c r="G207" s="167" t="s">
        <v>258</v>
      </c>
      <c r="H207" s="165"/>
    </row>
    <row r="208" spans="1:8" s="225" customFormat="1" ht="36">
      <c r="A208" s="175" t="s">
        <v>766</v>
      </c>
      <c r="B208" s="169" t="s">
        <v>303</v>
      </c>
      <c r="C208" s="167" t="s">
        <v>89</v>
      </c>
      <c r="D208" s="167" t="s">
        <v>200</v>
      </c>
      <c r="E208" s="167" t="s">
        <v>201</v>
      </c>
      <c r="F208" s="160" t="s">
        <v>92</v>
      </c>
      <c r="G208" s="167" t="s">
        <v>258</v>
      </c>
      <c r="H208" s="165"/>
    </row>
    <row r="209" spans="1:8" s="225" customFormat="1" ht="18">
      <c r="A209" s="175" t="s">
        <v>641</v>
      </c>
      <c r="B209" s="169" t="s">
        <v>642</v>
      </c>
      <c r="C209" s="167" t="s">
        <v>89</v>
      </c>
      <c r="D209" s="167" t="s">
        <v>653</v>
      </c>
      <c r="E209" s="167" t="s">
        <v>652</v>
      </c>
      <c r="F209" s="160" t="s">
        <v>92</v>
      </c>
      <c r="G209" s="167" t="s">
        <v>112</v>
      </c>
      <c r="H209" s="165" t="s">
        <v>130</v>
      </c>
    </row>
    <row r="210" spans="1:8" s="225" customFormat="1" ht="18">
      <c r="A210" s="175" t="s">
        <v>384</v>
      </c>
      <c r="B210" s="173" t="s">
        <v>385</v>
      </c>
      <c r="C210" s="173" t="s">
        <v>89</v>
      </c>
      <c r="D210" s="173" t="s">
        <v>582</v>
      </c>
      <c r="E210" s="173" t="s">
        <v>164</v>
      </c>
      <c r="F210" s="173" t="s">
        <v>128</v>
      </c>
      <c r="G210" s="173" t="s">
        <v>692</v>
      </c>
      <c r="H210" s="161" t="s">
        <v>130</v>
      </c>
    </row>
    <row r="211" spans="1:8" s="225" customFormat="1" ht="18">
      <c r="A211" s="175" t="s">
        <v>384</v>
      </c>
      <c r="B211" s="173" t="s">
        <v>385</v>
      </c>
      <c r="C211" s="173" t="s">
        <v>194</v>
      </c>
      <c r="D211" s="173" t="s">
        <v>133</v>
      </c>
      <c r="E211" s="173" t="s">
        <v>195</v>
      </c>
      <c r="F211" s="173" t="s">
        <v>128</v>
      </c>
      <c r="G211" s="173" t="s">
        <v>692</v>
      </c>
      <c r="H211" s="161" t="s">
        <v>130</v>
      </c>
    </row>
    <row r="212" spans="1:8" s="225" customFormat="1" ht="18">
      <c r="A212" s="175" t="s">
        <v>384</v>
      </c>
      <c r="B212" s="173" t="s">
        <v>385</v>
      </c>
      <c r="C212" s="173" t="s">
        <v>104</v>
      </c>
      <c r="D212" s="173" t="s">
        <v>575</v>
      </c>
      <c r="E212" s="173" t="s">
        <v>386</v>
      </c>
      <c r="F212" s="173" t="s">
        <v>128</v>
      </c>
      <c r="G212" s="173" t="s">
        <v>692</v>
      </c>
      <c r="H212" s="161" t="s">
        <v>130</v>
      </c>
    </row>
    <row r="213" spans="1:8" s="225" customFormat="1" ht="36">
      <c r="A213" s="175" t="s">
        <v>387</v>
      </c>
      <c r="B213" s="173" t="s">
        <v>388</v>
      </c>
      <c r="C213" s="173" t="s">
        <v>89</v>
      </c>
      <c r="D213" s="173" t="s">
        <v>583</v>
      </c>
      <c r="E213" s="173" t="s">
        <v>389</v>
      </c>
      <c r="F213" s="173" t="s">
        <v>128</v>
      </c>
      <c r="G213" s="173" t="s">
        <v>971</v>
      </c>
      <c r="H213" s="161"/>
    </row>
    <row r="214" spans="1:8" s="225" customFormat="1" ht="36">
      <c r="A214" s="175" t="s">
        <v>387</v>
      </c>
      <c r="B214" s="173" t="s">
        <v>388</v>
      </c>
      <c r="C214" s="173" t="s">
        <v>194</v>
      </c>
      <c r="D214" s="173" t="s">
        <v>133</v>
      </c>
      <c r="E214" s="173" t="s">
        <v>195</v>
      </c>
      <c r="F214" s="173" t="s">
        <v>128</v>
      </c>
      <c r="G214" s="173" t="s">
        <v>971</v>
      </c>
      <c r="H214" s="161"/>
    </row>
    <row r="215" spans="1:8" s="225" customFormat="1" ht="36">
      <c r="A215" s="175" t="s">
        <v>387</v>
      </c>
      <c r="B215" s="173" t="s">
        <v>388</v>
      </c>
      <c r="C215" s="173" t="s">
        <v>104</v>
      </c>
      <c r="D215" s="173" t="s">
        <v>575</v>
      </c>
      <c r="E215" s="173" t="s">
        <v>386</v>
      </c>
      <c r="F215" s="173" t="s">
        <v>128</v>
      </c>
      <c r="G215" s="173" t="s">
        <v>971</v>
      </c>
      <c r="H215" s="161"/>
    </row>
    <row r="216" spans="1:8" s="225" customFormat="1" ht="18">
      <c r="A216" s="175" t="s">
        <v>390</v>
      </c>
      <c r="B216" s="173" t="s">
        <v>391</v>
      </c>
      <c r="C216" s="173" t="s">
        <v>89</v>
      </c>
      <c r="D216" s="173" t="s">
        <v>582</v>
      </c>
      <c r="E216" s="173" t="s">
        <v>164</v>
      </c>
      <c r="F216" s="173" t="s">
        <v>128</v>
      </c>
      <c r="G216" s="173" t="s">
        <v>692</v>
      </c>
      <c r="H216" s="161"/>
    </row>
    <row r="217" spans="1:8" s="225" customFormat="1" ht="18">
      <c r="A217" s="175" t="s">
        <v>390</v>
      </c>
      <c r="B217" s="173" t="s">
        <v>391</v>
      </c>
      <c r="C217" s="173" t="s">
        <v>194</v>
      </c>
      <c r="D217" s="173" t="s">
        <v>133</v>
      </c>
      <c r="E217" s="173" t="s">
        <v>195</v>
      </c>
      <c r="F217" s="173" t="s">
        <v>128</v>
      </c>
      <c r="G217" s="173" t="s">
        <v>692</v>
      </c>
      <c r="H217" s="161"/>
    </row>
    <row r="218" spans="1:8" s="225" customFormat="1" ht="18">
      <c r="A218" s="175" t="s">
        <v>390</v>
      </c>
      <c r="B218" s="173" t="s">
        <v>391</v>
      </c>
      <c r="C218" s="173" t="s">
        <v>104</v>
      </c>
      <c r="D218" s="173" t="s">
        <v>575</v>
      </c>
      <c r="E218" s="173" t="s">
        <v>386</v>
      </c>
      <c r="F218" s="173" t="s">
        <v>128</v>
      </c>
      <c r="G218" s="173" t="s">
        <v>692</v>
      </c>
      <c r="H218" s="161"/>
    </row>
    <row r="219" spans="1:8" s="225" customFormat="1" ht="18">
      <c r="A219" s="175" t="s">
        <v>392</v>
      </c>
      <c r="B219" s="173" t="s">
        <v>393</v>
      </c>
      <c r="C219" s="173" t="s">
        <v>89</v>
      </c>
      <c r="D219" s="173" t="s">
        <v>582</v>
      </c>
      <c r="E219" s="173" t="s">
        <v>164</v>
      </c>
      <c r="F219" s="173" t="s">
        <v>128</v>
      </c>
      <c r="G219" s="173" t="s">
        <v>692</v>
      </c>
      <c r="H219" s="161"/>
    </row>
    <row r="220" spans="1:8" s="225" customFormat="1" ht="18">
      <c r="A220" s="175" t="s">
        <v>392</v>
      </c>
      <c r="B220" s="173" t="s">
        <v>393</v>
      </c>
      <c r="C220" s="173" t="s">
        <v>194</v>
      </c>
      <c r="D220" s="173" t="s">
        <v>133</v>
      </c>
      <c r="E220" s="173" t="s">
        <v>195</v>
      </c>
      <c r="F220" s="173" t="s">
        <v>128</v>
      </c>
      <c r="G220" s="173" t="s">
        <v>692</v>
      </c>
      <c r="H220" s="161"/>
    </row>
    <row r="221" spans="1:8" s="225" customFormat="1" ht="18">
      <c r="A221" s="175" t="s">
        <v>392</v>
      </c>
      <c r="B221" s="173" t="s">
        <v>393</v>
      </c>
      <c r="C221" s="173" t="s">
        <v>104</v>
      </c>
      <c r="D221" s="173" t="s">
        <v>575</v>
      </c>
      <c r="E221" s="173" t="s">
        <v>386</v>
      </c>
      <c r="F221" s="173" t="s">
        <v>128</v>
      </c>
      <c r="G221" s="173" t="s">
        <v>692</v>
      </c>
      <c r="H221" s="161"/>
    </row>
    <row r="222" spans="1:8" s="225" customFormat="1" ht="18">
      <c r="A222" s="175" t="s">
        <v>394</v>
      </c>
      <c r="B222" s="173" t="s">
        <v>1175</v>
      </c>
      <c r="C222" s="173" t="s">
        <v>89</v>
      </c>
      <c r="D222" s="173" t="s">
        <v>90</v>
      </c>
      <c r="E222" s="173" t="s">
        <v>395</v>
      </c>
      <c r="F222" s="173" t="s">
        <v>128</v>
      </c>
      <c r="G222" s="173" t="s">
        <v>691</v>
      </c>
      <c r="H222" s="161"/>
    </row>
    <row r="223" spans="1:8" s="225" customFormat="1" ht="18">
      <c r="A223" s="175" t="s">
        <v>394</v>
      </c>
      <c r="B223" s="173" t="s">
        <v>1175</v>
      </c>
      <c r="C223" s="173" t="s">
        <v>194</v>
      </c>
      <c r="D223" s="173" t="s">
        <v>133</v>
      </c>
      <c r="E223" s="173" t="s">
        <v>195</v>
      </c>
      <c r="F223" s="173" t="s">
        <v>128</v>
      </c>
      <c r="G223" s="173" t="s">
        <v>691</v>
      </c>
      <c r="H223" s="161"/>
    </row>
    <row r="224" spans="1:8" s="225" customFormat="1" ht="18">
      <c r="A224" s="175" t="s">
        <v>394</v>
      </c>
      <c r="B224" s="173" t="s">
        <v>1175</v>
      </c>
      <c r="C224" s="173" t="s">
        <v>104</v>
      </c>
      <c r="D224" s="173" t="s">
        <v>581</v>
      </c>
      <c r="E224" s="173" t="s">
        <v>198</v>
      </c>
      <c r="F224" s="173" t="s">
        <v>128</v>
      </c>
      <c r="G224" s="173" t="s">
        <v>691</v>
      </c>
      <c r="H224" s="161"/>
    </row>
    <row r="225" spans="1:109" s="230" customFormat="1" ht="18">
      <c r="A225" s="180" t="s">
        <v>396</v>
      </c>
      <c r="B225" s="176" t="s">
        <v>397</v>
      </c>
      <c r="C225" s="176" t="s">
        <v>89</v>
      </c>
      <c r="D225" s="176" t="s">
        <v>148</v>
      </c>
      <c r="E225" s="158" t="s">
        <v>506</v>
      </c>
      <c r="F225" s="176" t="s">
        <v>398</v>
      </c>
      <c r="G225" s="176" t="s">
        <v>112</v>
      </c>
      <c r="H225" s="231" t="s">
        <v>773</v>
      </c>
      <c r="I225" s="245"/>
      <c r="J225" s="245"/>
      <c r="K225" s="245"/>
      <c r="L225" s="245"/>
      <c r="M225" s="245"/>
      <c r="N225" s="245"/>
      <c r="O225" s="245"/>
      <c r="P225" s="245"/>
      <c r="Q225" s="245"/>
      <c r="R225" s="245"/>
      <c r="S225" s="245"/>
      <c r="T225" s="245"/>
      <c r="U225" s="245"/>
      <c r="V225" s="245"/>
      <c r="W225" s="245"/>
      <c r="X225" s="245"/>
      <c r="Y225" s="245"/>
      <c r="Z225" s="245"/>
      <c r="AA225" s="245"/>
      <c r="AB225" s="245"/>
      <c r="AC225" s="245"/>
      <c r="AD225" s="245"/>
      <c r="AE225" s="245"/>
      <c r="AF225" s="245"/>
      <c r="AG225" s="245"/>
      <c r="AH225" s="245"/>
      <c r="AI225" s="245"/>
      <c r="AJ225" s="245"/>
      <c r="AK225" s="245"/>
      <c r="AL225" s="245"/>
      <c r="AM225" s="245"/>
      <c r="AN225" s="245"/>
      <c r="AO225" s="245"/>
      <c r="AP225" s="245"/>
      <c r="AQ225" s="245"/>
      <c r="AR225" s="245"/>
      <c r="AS225" s="245"/>
      <c r="AT225" s="245"/>
      <c r="AU225" s="245"/>
      <c r="AV225" s="245"/>
      <c r="AW225" s="245"/>
      <c r="AX225" s="245"/>
      <c r="AY225" s="245"/>
      <c r="AZ225" s="245"/>
      <c r="BA225" s="245"/>
      <c r="BB225" s="245"/>
      <c r="BC225" s="245"/>
      <c r="BD225" s="245"/>
      <c r="BE225" s="245"/>
      <c r="BF225" s="245"/>
      <c r="BG225" s="245"/>
      <c r="BH225" s="245"/>
      <c r="BI225" s="245"/>
      <c r="BJ225" s="245"/>
      <c r="BK225" s="245"/>
      <c r="BL225" s="245"/>
      <c r="BM225" s="245"/>
      <c r="BN225" s="245"/>
      <c r="BO225" s="245"/>
      <c r="BP225" s="245"/>
      <c r="BQ225" s="245"/>
      <c r="BR225" s="245"/>
      <c r="BS225" s="245"/>
      <c r="BT225" s="245"/>
      <c r="BU225" s="245"/>
      <c r="BV225" s="245"/>
      <c r="BW225" s="245"/>
      <c r="BX225" s="245"/>
      <c r="BY225" s="245"/>
      <c r="BZ225" s="245"/>
      <c r="CA225" s="245"/>
      <c r="CB225" s="245"/>
      <c r="CC225" s="245"/>
      <c r="CD225" s="245"/>
      <c r="CE225" s="245"/>
      <c r="CF225" s="245"/>
      <c r="CG225" s="245"/>
      <c r="CH225" s="245"/>
      <c r="CI225" s="245"/>
      <c r="CJ225" s="245"/>
      <c r="CK225" s="245"/>
      <c r="CL225" s="245"/>
      <c r="CM225" s="245"/>
      <c r="CN225" s="245"/>
      <c r="CO225" s="245"/>
      <c r="CP225" s="245"/>
      <c r="CQ225" s="245"/>
      <c r="CR225" s="245"/>
      <c r="CS225" s="245"/>
      <c r="CT225" s="245"/>
      <c r="CU225" s="245"/>
      <c r="CV225" s="245"/>
      <c r="CW225" s="245"/>
      <c r="CX225" s="245"/>
      <c r="CY225" s="245"/>
      <c r="CZ225" s="245"/>
      <c r="DA225" s="245"/>
      <c r="DB225" s="245"/>
      <c r="DC225" s="245"/>
      <c r="DD225" s="245"/>
      <c r="DE225" s="245"/>
    </row>
    <row r="226" spans="1:109" s="225" customFormat="1" ht="36">
      <c r="A226" s="175" t="s">
        <v>399</v>
      </c>
      <c r="B226" s="177"/>
      <c r="C226" s="177"/>
      <c r="D226" s="177"/>
      <c r="E226" s="177"/>
      <c r="F226" s="177"/>
      <c r="G226" s="177"/>
      <c r="H226" s="237"/>
    </row>
    <row r="227" spans="1:109" s="225" customFormat="1" ht="18">
      <c r="A227" s="175" t="s">
        <v>400</v>
      </c>
      <c r="B227" s="173" t="s">
        <v>562</v>
      </c>
      <c r="C227" s="173" t="s">
        <v>194</v>
      </c>
      <c r="D227" s="173" t="s">
        <v>133</v>
      </c>
      <c r="E227" s="173" t="s">
        <v>577</v>
      </c>
      <c r="F227" s="173" t="s">
        <v>128</v>
      </c>
      <c r="G227" s="173" t="s">
        <v>129</v>
      </c>
      <c r="H227" s="161"/>
    </row>
    <row r="228" spans="1:109" s="225" customFormat="1" ht="18">
      <c r="A228" s="175" t="s">
        <v>402</v>
      </c>
      <c r="B228" s="173" t="s">
        <v>403</v>
      </c>
      <c r="C228" s="173" t="s">
        <v>89</v>
      </c>
      <c r="D228" s="173" t="s">
        <v>328</v>
      </c>
      <c r="E228" s="173" t="s">
        <v>375</v>
      </c>
      <c r="F228" s="160" t="s">
        <v>111</v>
      </c>
      <c r="G228" s="173" t="s">
        <v>112</v>
      </c>
      <c r="H228" s="161"/>
    </row>
    <row r="229" spans="1:109" s="225" customFormat="1" ht="54">
      <c r="A229" s="175" t="s">
        <v>404</v>
      </c>
      <c r="B229" s="224"/>
      <c r="C229" s="224"/>
      <c r="D229" s="224"/>
      <c r="E229" s="224"/>
      <c r="F229" s="224"/>
      <c r="G229" s="224"/>
      <c r="H229" s="237"/>
    </row>
    <row r="230" spans="1:109" s="225" customFormat="1" ht="18">
      <c r="A230" s="175" t="s">
        <v>405</v>
      </c>
      <c r="B230" s="174" t="s">
        <v>407</v>
      </c>
      <c r="C230" s="173" t="s">
        <v>95</v>
      </c>
      <c r="D230" s="173" t="s">
        <v>580</v>
      </c>
      <c r="E230" s="173" t="s">
        <v>208</v>
      </c>
      <c r="F230" s="160" t="s">
        <v>92</v>
      </c>
      <c r="G230" s="173" t="s">
        <v>112</v>
      </c>
      <c r="H230" s="161" t="s">
        <v>561</v>
      </c>
    </row>
    <row r="231" spans="1:109" s="225" customFormat="1" ht="18">
      <c r="A231" s="175" t="s">
        <v>405</v>
      </c>
      <c r="B231" s="174" t="s">
        <v>406</v>
      </c>
      <c r="C231" s="173" t="s">
        <v>89</v>
      </c>
      <c r="D231" s="173" t="s">
        <v>167</v>
      </c>
      <c r="E231" s="173" t="s">
        <v>215</v>
      </c>
      <c r="F231" s="160" t="s">
        <v>202</v>
      </c>
      <c r="G231" s="173" t="s">
        <v>112</v>
      </c>
      <c r="H231" s="161"/>
    </row>
    <row r="232" spans="1:109" s="225" customFormat="1" ht="18">
      <c r="A232" s="175" t="s">
        <v>408</v>
      </c>
      <c r="B232" s="174" t="s">
        <v>409</v>
      </c>
      <c r="C232" s="173" t="s">
        <v>95</v>
      </c>
      <c r="D232" s="173" t="s">
        <v>226</v>
      </c>
      <c r="E232" s="173" t="s">
        <v>208</v>
      </c>
      <c r="F232" s="160" t="s">
        <v>92</v>
      </c>
      <c r="G232" s="173" t="s">
        <v>112</v>
      </c>
      <c r="H232" s="161" t="s">
        <v>130</v>
      </c>
    </row>
    <row r="233" spans="1:109" s="225" customFormat="1" ht="18">
      <c r="A233" s="175" t="s">
        <v>408</v>
      </c>
      <c r="B233" s="174" t="s">
        <v>409</v>
      </c>
      <c r="C233" s="173" t="s">
        <v>89</v>
      </c>
      <c r="D233" s="173" t="s">
        <v>90</v>
      </c>
      <c r="E233" s="173" t="s">
        <v>410</v>
      </c>
      <c r="F233" s="160" t="s">
        <v>92</v>
      </c>
      <c r="G233" s="173" t="s">
        <v>112</v>
      </c>
      <c r="H233" s="161" t="s">
        <v>130</v>
      </c>
    </row>
    <row r="234" spans="1:109" s="225" customFormat="1" ht="36">
      <c r="A234" s="175" t="s">
        <v>722</v>
      </c>
      <c r="B234" s="174" t="s">
        <v>1176</v>
      </c>
      <c r="C234" s="173" t="s">
        <v>89</v>
      </c>
      <c r="D234" s="173" t="s">
        <v>200</v>
      </c>
      <c r="E234" s="173" t="s">
        <v>201</v>
      </c>
      <c r="F234" s="160" t="s">
        <v>202</v>
      </c>
      <c r="G234" s="173" t="s">
        <v>112</v>
      </c>
      <c r="H234" s="161"/>
    </row>
    <row r="235" spans="1:109" s="225" customFormat="1" ht="18">
      <c r="A235" s="175" t="s">
        <v>411</v>
      </c>
      <c r="B235" s="244"/>
      <c r="C235" s="177"/>
      <c r="D235" s="177"/>
      <c r="E235" s="177"/>
      <c r="F235" s="244"/>
      <c r="G235" s="177"/>
      <c r="H235" s="237"/>
    </row>
    <row r="236" spans="1:109" s="225" customFormat="1" ht="36">
      <c r="A236" s="175" t="s">
        <v>412</v>
      </c>
      <c r="B236" s="244" t="s">
        <v>19</v>
      </c>
      <c r="C236" s="177" t="s">
        <v>19</v>
      </c>
      <c r="D236" s="177"/>
      <c r="E236" s="177"/>
      <c r="F236" s="244"/>
      <c r="G236" s="177"/>
      <c r="H236" s="237"/>
    </row>
    <row r="237" spans="1:109" s="225" customFormat="1" ht="36">
      <c r="A237" s="175" t="s">
        <v>413</v>
      </c>
      <c r="B237" s="244"/>
      <c r="C237" s="177"/>
      <c r="D237" s="177"/>
      <c r="E237" s="177"/>
      <c r="F237" s="244"/>
      <c r="G237" s="177"/>
      <c r="H237" s="237"/>
    </row>
    <row r="238" spans="1:109" s="225" customFormat="1" ht="36">
      <c r="A238" s="175" t="s">
        <v>414</v>
      </c>
      <c r="B238" s="174" t="s">
        <v>415</v>
      </c>
      <c r="C238" s="173" t="s">
        <v>188</v>
      </c>
      <c r="D238" s="173" t="s">
        <v>200</v>
      </c>
      <c r="E238" s="173" t="s">
        <v>200</v>
      </c>
      <c r="F238" s="160" t="s">
        <v>92</v>
      </c>
      <c r="G238" s="173" t="s">
        <v>245</v>
      </c>
      <c r="H238" s="161" t="s">
        <v>130</v>
      </c>
    </row>
    <row r="239" spans="1:109" s="225" customFormat="1" ht="36">
      <c r="A239" s="175" t="s">
        <v>414</v>
      </c>
      <c r="B239" s="174" t="s">
        <v>415</v>
      </c>
      <c r="C239" s="173" t="s">
        <v>728</v>
      </c>
      <c r="D239" s="173" t="s">
        <v>200</v>
      </c>
      <c r="E239" s="173" t="s">
        <v>200</v>
      </c>
      <c r="F239" s="160" t="s">
        <v>731</v>
      </c>
      <c r="G239" s="173" t="s">
        <v>245</v>
      </c>
      <c r="H239" s="161" t="s">
        <v>130</v>
      </c>
    </row>
    <row r="240" spans="1:109" s="225" customFormat="1" ht="36">
      <c r="A240" s="175" t="s">
        <v>416</v>
      </c>
      <c r="B240" s="174" t="s">
        <v>417</v>
      </c>
      <c r="C240" s="173" t="s">
        <v>188</v>
      </c>
      <c r="D240" s="173" t="s">
        <v>90</v>
      </c>
      <c r="E240" s="173" t="s">
        <v>153</v>
      </c>
      <c r="F240" s="174" t="s">
        <v>428</v>
      </c>
      <c r="G240" s="173" t="s">
        <v>93</v>
      </c>
      <c r="H240" s="161" t="s">
        <v>612</v>
      </c>
    </row>
    <row r="241" spans="1:8" s="225" customFormat="1" ht="36">
      <c r="A241" s="175" t="s">
        <v>416</v>
      </c>
      <c r="B241" s="174" t="s">
        <v>417</v>
      </c>
      <c r="C241" s="173" t="s">
        <v>728</v>
      </c>
      <c r="D241" s="173" t="s">
        <v>90</v>
      </c>
      <c r="E241" s="173" t="s">
        <v>153</v>
      </c>
      <c r="F241" s="174" t="s">
        <v>740</v>
      </c>
      <c r="G241" s="173" t="s">
        <v>93</v>
      </c>
      <c r="H241" s="161" t="s">
        <v>612</v>
      </c>
    </row>
    <row r="242" spans="1:8" s="225" customFormat="1" ht="18">
      <c r="A242" s="175" t="s">
        <v>419</v>
      </c>
      <c r="B242" s="174" t="s">
        <v>420</v>
      </c>
      <c r="C242" s="173" t="s">
        <v>89</v>
      </c>
      <c r="D242" s="173" t="s">
        <v>109</v>
      </c>
      <c r="E242" s="173" t="s">
        <v>149</v>
      </c>
      <c r="F242" s="160" t="s">
        <v>92</v>
      </c>
      <c r="G242" s="184" t="s">
        <v>138</v>
      </c>
      <c r="H242" s="161"/>
    </row>
    <row r="243" spans="1:8" s="225" customFormat="1" ht="36">
      <c r="A243" s="175" t="s">
        <v>419</v>
      </c>
      <c r="B243" s="174" t="s">
        <v>420</v>
      </c>
      <c r="C243" s="173" t="s">
        <v>728</v>
      </c>
      <c r="D243" s="173" t="s">
        <v>109</v>
      </c>
      <c r="E243" s="173" t="s">
        <v>149</v>
      </c>
      <c r="F243" s="160" t="s">
        <v>731</v>
      </c>
      <c r="G243" s="184" t="s">
        <v>138</v>
      </c>
      <c r="H243" s="161"/>
    </row>
    <row r="244" spans="1:8" s="230" customFormat="1" ht="54">
      <c r="A244" s="180" t="s">
        <v>421</v>
      </c>
      <c r="B244" s="176" t="s">
        <v>276</v>
      </c>
      <c r="C244" s="176" t="s">
        <v>136</v>
      </c>
      <c r="D244" s="176" t="s">
        <v>651</v>
      </c>
      <c r="E244" s="176" t="s">
        <v>91</v>
      </c>
      <c r="F244" s="160" t="s">
        <v>92</v>
      </c>
      <c r="G244" s="176" t="s">
        <v>274</v>
      </c>
      <c r="H244" s="231" t="s">
        <v>1177</v>
      </c>
    </row>
    <row r="245" spans="1:8" s="230" customFormat="1" ht="54">
      <c r="A245" s="180" t="s">
        <v>421</v>
      </c>
      <c r="B245" s="176" t="s">
        <v>276</v>
      </c>
      <c r="C245" s="176" t="s">
        <v>728</v>
      </c>
      <c r="D245" s="176" t="s">
        <v>651</v>
      </c>
      <c r="E245" s="176" t="s">
        <v>91</v>
      </c>
      <c r="F245" s="160" t="s">
        <v>731</v>
      </c>
      <c r="G245" s="176" t="s">
        <v>274</v>
      </c>
      <c r="H245" s="231" t="s">
        <v>1177</v>
      </c>
    </row>
    <row r="246" spans="1:8" s="230" customFormat="1" ht="18">
      <c r="A246" s="180" t="s">
        <v>587</v>
      </c>
      <c r="B246" s="176" t="s">
        <v>588</v>
      </c>
      <c r="C246" s="176" t="s">
        <v>136</v>
      </c>
      <c r="D246" s="176" t="s">
        <v>152</v>
      </c>
      <c r="E246" s="176" t="s">
        <v>523</v>
      </c>
      <c r="F246" s="160" t="s">
        <v>92</v>
      </c>
      <c r="G246" s="176" t="s">
        <v>138</v>
      </c>
      <c r="H246" s="231" t="s">
        <v>130</v>
      </c>
    </row>
    <row r="247" spans="1:8" s="230" customFormat="1" ht="36">
      <c r="A247" s="180" t="s">
        <v>587</v>
      </c>
      <c r="B247" s="176" t="s">
        <v>588</v>
      </c>
      <c r="C247" s="176" t="s">
        <v>728</v>
      </c>
      <c r="D247" s="176" t="s">
        <v>152</v>
      </c>
      <c r="E247" s="176" t="s">
        <v>523</v>
      </c>
      <c r="F247" s="160" t="s">
        <v>731</v>
      </c>
      <c r="G247" s="176" t="s">
        <v>138</v>
      </c>
      <c r="H247" s="231" t="s">
        <v>130</v>
      </c>
    </row>
    <row r="248" spans="1:8" s="225" customFormat="1" ht="54">
      <c r="A248" s="175" t="s">
        <v>422</v>
      </c>
      <c r="B248" s="173" t="s">
        <v>417</v>
      </c>
      <c r="C248" s="173" t="s">
        <v>136</v>
      </c>
      <c r="D248" s="173" t="s">
        <v>90</v>
      </c>
      <c r="E248" s="173" t="s">
        <v>153</v>
      </c>
      <c r="F248" s="174" t="s">
        <v>423</v>
      </c>
      <c r="G248" s="173" t="s">
        <v>93</v>
      </c>
      <c r="H248" s="161" t="s">
        <v>612</v>
      </c>
    </row>
    <row r="249" spans="1:8" s="225" customFormat="1" ht="54">
      <c r="A249" s="175" t="s">
        <v>422</v>
      </c>
      <c r="B249" s="173" t="s">
        <v>417</v>
      </c>
      <c r="C249" s="173" t="s">
        <v>728</v>
      </c>
      <c r="D249" s="173" t="s">
        <v>90</v>
      </c>
      <c r="E249" s="173" t="s">
        <v>153</v>
      </c>
      <c r="F249" s="174" t="s">
        <v>741</v>
      </c>
      <c r="G249" s="173" t="s">
        <v>93</v>
      </c>
      <c r="H249" s="161" t="s">
        <v>612</v>
      </c>
    </row>
    <row r="250" spans="1:8" s="225" customFormat="1" ht="36">
      <c r="A250" s="175" t="s">
        <v>422</v>
      </c>
      <c r="B250" s="173" t="s">
        <v>424</v>
      </c>
      <c r="C250" s="173" t="s">
        <v>89</v>
      </c>
      <c r="D250" s="173" t="s">
        <v>90</v>
      </c>
      <c r="E250" s="158" t="s">
        <v>153</v>
      </c>
      <c r="F250" s="160" t="s">
        <v>202</v>
      </c>
      <c r="G250" s="173" t="s">
        <v>93</v>
      </c>
      <c r="H250" s="161" t="s">
        <v>612</v>
      </c>
    </row>
    <row r="251" spans="1:8" s="225" customFormat="1" ht="36">
      <c r="A251" s="175" t="s">
        <v>422</v>
      </c>
      <c r="B251" s="173" t="s">
        <v>1178</v>
      </c>
      <c r="C251" s="173" t="s">
        <v>194</v>
      </c>
      <c r="D251" s="173" t="s">
        <v>133</v>
      </c>
      <c r="E251" s="173" t="s">
        <v>425</v>
      </c>
      <c r="F251" s="160" t="s">
        <v>92</v>
      </c>
      <c r="G251" s="173" t="s">
        <v>93</v>
      </c>
      <c r="H251" s="161" t="s">
        <v>418</v>
      </c>
    </row>
    <row r="252" spans="1:8" s="225" customFormat="1" ht="72">
      <c r="A252" s="175" t="s">
        <v>422</v>
      </c>
      <c r="B252" s="173" t="s">
        <v>1178</v>
      </c>
      <c r="C252" s="173" t="s">
        <v>95</v>
      </c>
      <c r="D252" s="173" t="s">
        <v>604</v>
      </c>
      <c r="E252" s="158" t="s">
        <v>230</v>
      </c>
      <c r="F252" s="160" t="s">
        <v>231</v>
      </c>
      <c r="G252" s="173" t="s">
        <v>93</v>
      </c>
      <c r="H252" s="161" t="s">
        <v>613</v>
      </c>
    </row>
    <row r="253" spans="1:8" s="225" customFormat="1" ht="36">
      <c r="A253" s="175" t="s">
        <v>422</v>
      </c>
      <c r="B253" s="173" t="s">
        <v>1178</v>
      </c>
      <c r="C253" s="173" t="s">
        <v>89</v>
      </c>
      <c r="D253" s="173" t="s">
        <v>90</v>
      </c>
      <c r="E253" s="173" t="s">
        <v>153</v>
      </c>
      <c r="F253" s="160" t="s">
        <v>202</v>
      </c>
      <c r="G253" s="173" t="s">
        <v>93</v>
      </c>
      <c r="H253" s="161" t="s">
        <v>612</v>
      </c>
    </row>
    <row r="254" spans="1:8" s="225" customFormat="1" ht="54">
      <c r="A254" s="175" t="s">
        <v>608</v>
      </c>
      <c r="B254" s="173" t="s">
        <v>609</v>
      </c>
      <c r="C254" s="173" t="s">
        <v>95</v>
      </c>
      <c r="D254" s="173" t="s">
        <v>604</v>
      </c>
      <c r="E254" s="158" t="s">
        <v>230</v>
      </c>
      <c r="F254" s="160" t="s">
        <v>231</v>
      </c>
      <c r="G254" s="173" t="s">
        <v>93</v>
      </c>
      <c r="H254" s="161" t="s">
        <v>610</v>
      </c>
    </row>
    <row r="255" spans="1:8" s="225" customFormat="1" ht="36">
      <c r="A255" s="175" t="s">
        <v>608</v>
      </c>
      <c r="B255" s="173" t="s">
        <v>609</v>
      </c>
      <c r="C255" s="173" t="s">
        <v>89</v>
      </c>
      <c r="D255" s="173" t="s">
        <v>90</v>
      </c>
      <c r="E255" s="158" t="s">
        <v>153</v>
      </c>
      <c r="F255" s="160" t="s">
        <v>202</v>
      </c>
      <c r="G255" s="173" t="s">
        <v>93</v>
      </c>
      <c r="H255" s="161" t="s">
        <v>611</v>
      </c>
    </row>
    <row r="256" spans="1:8" s="228" customFormat="1" ht="93.75">
      <c r="A256" s="181" t="s">
        <v>426</v>
      </c>
      <c r="B256" s="225"/>
      <c r="C256" s="225"/>
      <c r="D256" s="225"/>
      <c r="E256" s="225"/>
      <c r="F256" s="225"/>
      <c r="G256" s="225"/>
      <c r="H256" s="225"/>
    </row>
    <row r="257" spans="1:1" ht="18.75">
      <c r="A257" s="181"/>
    </row>
  </sheetData>
  <autoFilter ref="A2:H256"/>
  <mergeCells count="2">
    <mergeCell ref="B1:E1"/>
    <mergeCell ref="F1:G1"/>
  </mergeCells>
  <phoneticPr fontId="3" type="noConversion"/>
  <printOptions horizontalCentered="1" verticalCentered="1"/>
  <pageMargins left="0.25" right="0.25" top="0.25" bottom="0.75" header="0.5" footer="0.5"/>
  <pageSetup scale="50" fitToHeight="0" orientation="landscape" r:id="rId1"/>
  <headerFooter alignWithMargins="0">
    <oddFooter>Page &amp;P&amp;RF083_KitRequest_COCtemplates_BottleGuide_20180618.xlsm</oddFooter>
  </headerFooter>
  <drawing r:id="rId2"/>
  <legacyDrawing r:id="rId3"/>
  <oleObjects>
    <mc:AlternateContent xmlns:mc="http://schemas.openxmlformats.org/markup-compatibility/2006">
      <mc:Choice Requires="x14">
        <oleObject progId="PBrush" shapeId="12289" r:id="rId4">
          <objectPr defaultSize="0" autoPict="0" r:id="rId5">
            <anchor moveWithCells="1" sizeWithCells="1">
              <from>
                <xdr:col>0</xdr:col>
                <xdr:colOff>371475</xdr:colOff>
                <xdr:row>0</xdr:row>
                <xdr:rowOff>104775</xdr:rowOff>
              </from>
              <to>
                <xdr:col>0</xdr:col>
                <xdr:colOff>3076575</xdr:colOff>
                <xdr:row>1</xdr:row>
                <xdr:rowOff>0</xdr:rowOff>
              </to>
            </anchor>
          </objectPr>
        </oleObject>
      </mc:Choice>
      <mc:Fallback>
        <oleObject progId="PBrush" shapeId="12289" r:id="rId4"/>
      </mc:Fallback>
    </mc:AlternateContent>
  </oleObjec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43"/>
  <sheetViews>
    <sheetView workbookViewId="0">
      <selection activeCell="V12" sqref="V12"/>
    </sheetView>
  </sheetViews>
  <sheetFormatPr defaultColWidth="9.140625" defaultRowHeight="12.75"/>
  <cols>
    <col min="1" max="1" width="49.7109375" style="580" customWidth="1"/>
    <col min="2" max="2" width="17.28515625" style="580" bestFit="1" customWidth="1"/>
    <col min="3" max="3" width="11.5703125" style="580" bestFit="1" customWidth="1"/>
    <col min="4" max="4" width="18.7109375" style="580" hidden="1" customWidth="1"/>
    <col min="5" max="5" width="8.42578125" style="580" customWidth="1"/>
    <col min="6" max="6" width="7.42578125" style="580" customWidth="1"/>
    <col min="7" max="7" width="8.5703125" style="580" customWidth="1"/>
    <col min="8" max="8" width="9" style="580" customWidth="1"/>
    <col min="9" max="10" width="8" style="580" customWidth="1"/>
    <col min="11" max="11" width="8.42578125" style="580" customWidth="1"/>
    <col min="12" max="13" width="7.28515625" style="580" customWidth="1"/>
    <col min="14" max="14" width="8.140625" style="580" customWidth="1"/>
    <col min="15" max="15" width="9.5703125" style="580" customWidth="1"/>
    <col min="16" max="16" width="3.5703125" style="580" customWidth="1"/>
    <col min="17" max="17" width="9" style="580" customWidth="1"/>
    <col min="18" max="18" width="9.7109375" style="580" customWidth="1"/>
    <col min="19" max="19" width="2.28515625" style="580" customWidth="1"/>
    <col min="20" max="16384" width="9.140625" style="580"/>
  </cols>
  <sheetData>
    <row r="1" spans="1:18" ht="35.25">
      <c r="A1" s="577" t="s">
        <v>978</v>
      </c>
      <c r="B1" s="578"/>
      <c r="C1" s="578"/>
      <c r="D1" s="578"/>
      <c r="E1" s="1578" t="s">
        <v>979</v>
      </c>
      <c r="F1" s="1578"/>
      <c r="G1" s="1578"/>
      <c r="H1" s="1578"/>
      <c r="I1" s="1578"/>
      <c r="J1" s="1578"/>
      <c r="K1" s="1578"/>
      <c r="L1" s="1578"/>
      <c r="M1" s="1578"/>
      <c r="N1" s="1578"/>
      <c r="O1" s="1578"/>
      <c r="P1" s="579"/>
      <c r="Q1" s="1578" t="s">
        <v>980</v>
      </c>
      <c r="R1" s="1578"/>
    </row>
    <row r="2" spans="1:18" ht="12" customHeight="1">
      <c r="A2" s="578" t="s">
        <v>981</v>
      </c>
      <c r="B2" s="578"/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</row>
    <row r="3" spans="1:18" ht="38.25">
      <c r="A3" s="1579"/>
      <c r="B3" s="1579"/>
      <c r="C3" s="1579"/>
      <c r="D3" s="1579"/>
      <c r="E3" s="581" t="s">
        <v>982</v>
      </c>
      <c r="F3" s="581" t="s">
        <v>983</v>
      </c>
      <c r="G3" s="581" t="s">
        <v>984</v>
      </c>
      <c r="H3" s="581" t="s">
        <v>985</v>
      </c>
      <c r="I3" s="581" t="s">
        <v>986</v>
      </c>
      <c r="J3" s="581" t="s">
        <v>987</v>
      </c>
      <c r="K3" s="581" t="s">
        <v>988</v>
      </c>
      <c r="L3" s="581" t="s">
        <v>989</v>
      </c>
      <c r="M3" s="581" t="s">
        <v>990</v>
      </c>
      <c r="N3" s="581" t="s">
        <v>991</v>
      </c>
      <c r="O3" s="581" t="s">
        <v>992</v>
      </c>
      <c r="P3" s="581"/>
      <c r="Q3" s="581" t="s">
        <v>993</v>
      </c>
      <c r="R3" s="581" t="s">
        <v>994</v>
      </c>
    </row>
    <row r="4" spans="1:18">
      <c r="A4" s="582" t="s">
        <v>995</v>
      </c>
      <c r="B4" s="582"/>
      <c r="C4" s="582"/>
      <c r="D4" s="583"/>
      <c r="E4" s="582"/>
      <c r="F4" s="582"/>
      <c r="G4" s="582"/>
      <c r="H4" s="582"/>
      <c r="I4" s="582"/>
      <c r="J4" s="582"/>
      <c r="K4" s="582"/>
      <c r="L4" s="582"/>
      <c r="M4" s="582"/>
      <c r="N4" s="582"/>
      <c r="O4" s="582"/>
      <c r="P4" s="583"/>
      <c r="Q4" s="582"/>
      <c r="R4" s="582"/>
    </row>
    <row r="5" spans="1:18">
      <c r="A5" s="584" t="s">
        <v>996</v>
      </c>
      <c r="B5" s="584" t="s">
        <v>997</v>
      </c>
      <c r="C5" s="584" t="s">
        <v>998</v>
      </c>
      <c r="D5" s="583"/>
      <c r="E5" s="585"/>
      <c r="F5" s="585"/>
      <c r="G5" s="585"/>
      <c r="H5" s="585"/>
      <c r="I5" s="585" t="s">
        <v>999</v>
      </c>
      <c r="J5" s="585" t="s">
        <v>999</v>
      </c>
      <c r="K5" s="585" t="s">
        <v>999</v>
      </c>
      <c r="L5" s="585" t="s">
        <v>999</v>
      </c>
      <c r="M5" s="585"/>
      <c r="N5" s="585" t="s">
        <v>999</v>
      </c>
      <c r="O5" s="585" t="s">
        <v>999</v>
      </c>
      <c r="P5" s="586"/>
      <c r="Q5" s="585" t="s">
        <v>999</v>
      </c>
      <c r="R5" s="585" t="s">
        <v>999</v>
      </c>
    </row>
    <row r="6" spans="1:18">
      <c r="A6" s="587" t="s">
        <v>1000</v>
      </c>
      <c r="B6" s="587" t="s">
        <v>1001</v>
      </c>
      <c r="C6" s="587" t="s">
        <v>1002</v>
      </c>
      <c r="D6" s="583"/>
      <c r="E6" s="585"/>
      <c r="F6" s="585"/>
      <c r="G6" s="585"/>
      <c r="H6" s="585"/>
      <c r="I6" s="585" t="s">
        <v>999</v>
      </c>
      <c r="J6" s="585" t="s">
        <v>999</v>
      </c>
      <c r="K6" s="585" t="s">
        <v>999</v>
      </c>
      <c r="L6" s="585" t="s">
        <v>999</v>
      </c>
      <c r="M6" s="585"/>
      <c r="N6" s="585" t="s">
        <v>999</v>
      </c>
      <c r="O6" s="585" t="s">
        <v>999</v>
      </c>
      <c r="P6" s="586"/>
      <c r="Q6" s="585" t="s">
        <v>999</v>
      </c>
      <c r="R6" s="585" t="s">
        <v>999</v>
      </c>
    </row>
    <row r="7" spans="1:18">
      <c r="A7" s="587" t="s">
        <v>1003</v>
      </c>
      <c r="B7" s="587" t="s">
        <v>1004</v>
      </c>
      <c r="C7" s="587" t="s">
        <v>1005</v>
      </c>
      <c r="D7" s="583"/>
      <c r="E7" s="585"/>
      <c r="F7" s="585"/>
      <c r="G7" s="585" t="s">
        <v>999</v>
      </c>
      <c r="H7" s="585" t="s">
        <v>999</v>
      </c>
      <c r="I7" s="585" t="s">
        <v>999</v>
      </c>
      <c r="J7" s="585" t="s">
        <v>999</v>
      </c>
      <c r="K7" s="585" t="s">
        <v>999</v>
      </c>
      <c r="L7" s="585" t="s">
        <v>999</v>
      </c>
      <c r="M7" s="585" t="s">
        <v>1006</v>
      </c>
      <c r="N7" s="585" t="s">
        <v>999</v>
      </c>
      <c r="O7" s="585" t="s">
        <v>999</v>
      </c>
      <c r="P7" s="586"/>
      <c r="Q7" s="585" t="s">
        <v>999</v>
      </c>
      <c r="R7" s="585" t="s">
        <v>999</v>
      </c>
    </row>
    <row r="8" spans="1:18">
      <c r="A8" s="587" t="s">
        <v>1007</v>
      </c>
      <c r="B8" s="587" t="s">
        <v>1008</v>
      </c>
      <c r="C8" s="587" t="s">
        <v>1009</v>
      </c>
      <c r="D8" s="583"/>
      <c r="E8" s="585"/>
      <c r="F8" s="585" t="s">
        <v>999</v>
      </c>
      <c r="G8" s="585" t="s">
        <v>999</v>
      </c>
      <c r="H8" s="585" t="s">
        <v>999</v>
      </c>
      <c r="I8" s="585" t="s">
        <v>999</v>
      </c>
      <c r="J8" s="585" t="s">
        <v>999</v>
      </c>
      <c r="K8" s="585" t="s">
        <v>999</v>
      </c>
      <c r="L8" s="585" t="s">
        <v>999</v>
      </c>
      <c r="M8" s="585" t="s">
        <v>1006</v>
      </c>
      <c r="N8" s="585" t="s">
        <v>999</v>
      </c>
      <c r="O8" s="585" t="s">
        <v>999</v>
      </c>
      <c r="P8" s="586"/>
      <c r="Q8" s="585" t="s">
        <v>999</v>
      </c>
      <c r="R8" s="585" t="s">
        <v>999</v>
      </c>
    </row>
    <row r="9" spans="1:18">
      <c r="A9" s="587" t="s">
        <v>1010</v>
      </c>
      <c r="B9" s="587" t="s">
        <v>1011</v>
      </c>
      <c r="C9" s="587" t="s">
        <v>1012</v>
      </c>
      <c r="D9" s="583"/>
      <c r="E9" s="585" t="s">
        <v>999</v>
      </c>
      <c r="F9" s="585" t="s">
        <v>999</v>
      </c>
      <c r="G9" s="585" t="s">
        <v>999</v>
      </c>
      <c r="H9" s="585" t="s">
        <v>999</v>
      </c>
      <c r="I9" s="585" t="s">
        <v>999</v>
      </c>
      <c r="J9" s="585" t="s">
        <v>999</v>
      </c>
      <c r="K9" s="585" t="s">
        <v>999</v>
      </c>
      <c r="L9" s="585" t="s">
        <v>999</v>
      </c>
      <c r="M9" s="585" t="s">
        <v>1006</v>
      </c>
      <c r="N9" s="585" t="s">
        <v>999</v>
      </c>
      <c r="O9" s="585" t="s">
        <v>999</v>
      </c>
      <c r="P9" s="586"/>
      <c r="Q9" s="585" t="s">
        <v>999</v>
      </c>
      <c r="R9" s="585" t="s">
        <v>999</v>
      </c>
    </row>
    <row r="10" spans="1:18">
      <c r="A10" s="587" t="s">
        <v>1013</v>
      </c>
      <c r="B10" s="587" t="s">
        <v>1014</v>
      </c>
      <c r="C10" s="587" t="s">
        <v>1015</v>
      </c>
      <c r="D10" s="583"/>
      <c r="E10" s="585"/>
      <c r="F10" s="585" t="s">
        <v>999</v>
      </c>
      <c r="G10" s="585" t="s">
        <v>999</v>
      </c>
      <c r="H10" s="585" t="s">
        <v>999</v>
      </c>
      <c r="I10" s="585" t="s">
        <v>999</v>
      </c>
      <c r="J10" s="585" t="s">
        <v>999</v>
      </c>
      <c r="K10" s="585" t="s">
        <v>999</v>
      </c>
      <c r="L10" s="585" t="s">
        <v>999</v>
      </c>
      <c r="M10" s="585" t="s">
        <v>1006</v>
      </c>
      <c r="N10" s="585" t="s">
        <v>999</v>
      </c>
      <c r="O10" s="585" t="s">
        <v>999</v>
      </c>
      <c r="P10" s="586"/>
      <c r="Q10" s="585" t="s">
        <v>999</v>
      </c>
      <c r="R10" s="585" t="s">
        <v>999</v>
      </c>
    </row>
    <row r="11" spans="1:18">
      <c r="A11" s="587" t="s">
        <v>1016</v>
      </c>
      <c r="B11" s="587" t="s">
        <v>1017</v>
      </c>
      <c r="C11" s="587" t="s">
        <v>1018</v>
      </c>
      <c r="D11" s="583"/>
      <c r="E11" s="585"/>
      <c r="F11" s="585"/>
      <c r="G11" s="585" t="s">
        <v>999</v>
      </c>
      <c r="H11" s="585" t="s">
        <v>999</v>
      </c>
      <c r="I11" s="585"/>
      <c r="J11" s="585" t="s">
        <v>999</v>
      </c>
      <c r="K11" s="585" t="s">
        <v>999</v>
      </c>
      <c r="L11" s="585" t="s">
        <v>999</v>
      </c>
      <c r="M11" s="585" t="s">
        <v>1006</v>
      </c>
      <c r="N11" s="585" t="s">
        <v>999</v>
      </c>
      <c r="O11" s="585" t="s">
        <v>999</v>
      </c>
      <c r="P11" s="586"/>
      <c r="Q11" s="585" t="s">
        <v>999</v>
      </c>
      <c r="R11" s="585" t="s">
        <v>999</v>
      </c>
    </row>
    <row r="12" spans="1:18">
      <c r="A12" s="587" t="s">
        <v>1019</v>
      </c>
      <c r="B12" s="587" t="s">
        <v>1020</v>
      </c>
      <c r="C12" s="587" t="s">
        <v>1021</v>
      </c>
      <c r="D12" s="583"/>
      <c r="E12" s="585"/>
      <c r="F12" s="585"/>
      <c r="G12" s="585" t="s">
        <v>999</v>
      </c>
      <c r="H12" s="585" t="s">
        <v>999</v>
      </c>
      <c r="I12" s="585"/>
      <c r="J12" s="585" t="s">
        <v>999</v>
      </c>
      <c r="K12" s="585" t="s">
        <v>999</v>
      </c>
      <c r="L12" s="585" t="s">
        <v>999</v>
      </c>
      <c r="M12" s="585" t="s">
        <v>1006</v>
      </c>
      <c r="N12" s="585" t="s">
        <v>999</v>
      </c>
      <c r="O12" s="585" t="s">
        <v>999</v>
      </c>
      <c r="P12" s="586"/>
      <c r="Q12" s="585" t="s">
        <v>999</v>
      </c>
      <c r="R12" s="585" t="s">
        <v>999</v>
      </c>
    </row>
    <row r="13" spans="1:18">
      <c r="A13" s="587" t="s">
        <v>1022</v>
      </c>
      <c r="B13" s="587" t="s">
        <v>1023</v>
      </c>
      <c r="C13" s="587" t="s">
        <v>1024</v>
      </c>
      <c r="D13" s="583"/>
      <c r="E13" s="585"/>
      <c r="F13" s="585"/>
      <c r="G13" s="585" t="s">
        <v>999</v>
      </c>
      <c r="H13" s="585" t="s">
        <v>999</v>
      </c>
      <c r="I13" s="585"/>
      <c r="J13" s="585" t="s">
        <v>999</v>
      </c>
      <c r="K13" s="585" t="s">
        <v>999</v>
      </c>
      <c r="L13" s="585" t="s">
        <v>999</v>
      </c>
      <c r="M13" s="585" t="s">
        <v>1006</v>
      </c>
      <c r="N13" s="585" t="s">
        <v>999</v>
      </c>
      <c r="O13" s="585" t="s">
        <v>999</v>
      </c>
      <c r="P13" s="586"/>
      <c r="Q13" s="585" t="s">
        <v>999</v>
      </c>
      <c r="R13" s="585" t="s">
        <v>999</v>
      </c>
    </row>
    <row r="14" spans="1:18">
      <c r="A14" s="587" t="s">
        <v>1025</v>
      </c>
      <c r="B14" s="587" t="s">
        <v>1026</v>
      </c>
      <c r="C14" s="587" t="s">
        <v>1027</v>
      </c>
      <c r="D14" s="583"/>
      <c r="E14" s="585"/>
      <c r="F14" s="585"/>
      <c r="G14" s="585" t="s">
        <v>999</v>
      </c>
      <c r="H14" s="585" t="s">
        <v>999</v>
      </c>
      <c r="I14" s="585"/>
      <c r="J14" s="585" t="s">
        <v>999</v>
      </c>
      <c r="K14" s="585" t="s">
        <v>999</v>
      </c>
      <c r="L14" s="585" t="s">
        <v>999</v>
      </c>
      <c r="M14" s="585" t="s">
        <v>1006</v>
      </c>
      <c r="N14" s="585" t="s">
        <v>999</v>
      </c>
      <c r="O14" s="585" t="s">
        <v>999</v>
      </c>
      <c r="P14" s="586"/>
      <c r="Q14" s="585" t="s">
        <v>999</v>
      </c>
      <c r="R14" s="585" t="s">
        <v>999</v>
      </c>
    </row>
    <row r="15" spans="1:18">
      <c r="A15" s="588" t="s">
        <v>1028</v>
      </c>
      <c r="B15" s="588" t="s">
        <v>1029</v>
      </c>
      <c r="C15" s="588" t="s">
        <v>1030</v>
      </c>
      <c r="D15" s="583"/>
      <c r="E15" s="585"/>
      <c r="F15" s="585"/>
      <c r="G15" s="585" t="s">
        <v>999</v>
      </c>
      <c r="H15" s="585" t="s">
        <v>999</v>
      </c>
      <c r="I15" s="585"/>
      <c r="J15" s="585" t="s">
        <v>999</v>
      </c>
      <c r="K15" s="585" t="s">
        <v>999</v>
      </c>
      <c r="L15" s="585" t="s">
        <v>999</v>
      </c>
      <c r="M15" s="585" t="s">
        <v>1006</v>
      </c>
      <c r="N15" s="585" t="s">
        <v>999</v>
      </c>
      <c r="O15" s="585" t="s">
        <v>999</v>
      </c>
      <c r="P15" s="586"/>
      <c r="Q15" s="585" t="s">
        <v>999</v>
      </c>
      <c r="R15" s="585" t="s">
        <v>999</v>
      </c>
    </row>
    <row r="16" spans="1:18">
      <c r="A16" s="582" t="s">
        <v>1031</v>
      </c>
      <c r="B16" s="582"/>
      <c r="C16" s="582"/>
      <c r="D16" s="583"/>
      <c r="E16" s="589"/>
      <c r="F16" s="589"/>
      <c r="G16" s="589"/>
      <c r="H16" s="589"/>
      <c r="I16" s="589"/>
      <c r="J16" s="589"/>
      <c r="K16" s="589"/>
      <c r="L16" s="589"/>
      <c r="M16" s="589"/>
      <c r="N16" s="589"/>
      <c r="O16" s="589"/>
      <c r="P16" s="586"/>
      <c r="Q16" s="589"/>
      <c r="R16" s="589"/>
    </row>
    <row r="17" spans="1:18">
      <c r="A17" s="584" t="s">
        <v>1032</v>
      </c>
      <c r="B17" s="584" t="s">
        <v>1033</v>
      </c>
      <c r="C17" s="584" t="s">
        <v>1034</v>
      </c>
      <c r="D17" s="583"/>
      <c r="E17" s="585"/>
      <c r="F17" s="585" t="s">
        <v>999</v>
      </c>
      <c r="G17" s="585" t="s">
        <v>999</v>
      </c>
      <c r="H17" s="585" t="s">
        <v>999</v>
      </c>
      <c r="I17" s="585" t="s">
        <v>999</v>
      </c>
      <c r="J17" s="585" t="s">
        <v>999</v>
      </c>
      <c r="K17" s="585" t="s">
        <v>999</v>
      </c>
      <c r="L17" s="585" t="s">
        <v>999</v>
      </c>
      <c r="M17" s="585" t="s">
        <v>1006</v>
      </c>
      <c r="N17" s="585" t="s">
        <v>999</v>
      </c>
      <c r="O17" s="585" t="s">
        <v>999</v>
      </c>
      <c r="P17" s="586"/>
      <c r="Q17" s="585" t="s">
        <v>999</v>
      </c>
      <c r="R17" s="585" t="s">
        <v>999</v>
      </c>
    </row>
    <row r="18" spans="1:18">
      <c r="A18" s="587" t="s">
        <v>1035</v>
      </c>
      <c r="B18" s="587" t="s">
        <v>1036</v>
      </c>
      <c r="C18" s="587" t="s">
        <v>1037</v>
      </c>
      <c r="D18" s="583"/>
      <c r="E18" s="585"/>
      <c r="F18" s="585"/>
      <c r="G18" s="585"/>
      <c r="H18" s="585"/>
      <c r="I18" s="585"/>
      <c r="J18" s="585"/>
      <c r="K18" s="585"/>
      <c r="L18" s="585"/>
      <c r="M18" s="585"/>
      <c r="N18" s="585" t="s">
        <v>999</v>
      </c>
      <c r="O18" s="585" t="s">
        <v>999</v>
      </c>
      <c r="P18" s="586"/>
      <c r="Q18" s="585" t="s">
        <v>999</v>
      </c>
      <c r="R18" s="585" t="s">
        <v>999</v>
      </c>
    </row>
    <row r="19" spans="1:18">
      <c r="A19" s="587" t="s">
        <v>1038</v>
      </c>
      <c r="B19" s="587" t="s">
        <v>1039</v>
      </c>
      <c r="C19" s="587" t="s">
        <v>1040</v>
      </c>
      <c r="D19" s="583"/>
      <c r="E19" s="585"/>
      <c r="F19" s="585" t="s">
        <v>999</v>
      </c>
      <c r="G19" s="585" t="s">
        <v>999</v>
      </c>
      <c r="H19" s="585" t="s">
        <v>999</v>
      </c>
      <c r="I19" s="585" t="s">
        <v>999</v>
      </c>
      <c r="J19" s="585" t="s">
        <v>999</v>
      </c>
      <c r="K19" s="585" t="s">
        <v>999</v>
      </c>
      <c r="L19" s="585" t="s">
        <v>999</v>
      </c>
      <c r="M19" s="585" t="s">
        <v>1006</v>
      </c>
      <c r="N19" s="585" t="s">
        <v>999</v>
      </c>
      <c r="O19" s="585" t="s">
        <v>999</v>
      </c>
      <c r="P19" s="586"/>
      <c r="Q19" s="585" t="s">
        <v>999</v>
      </c>
      <c r="R19" s="585" t="s">
        <v>999</v>
      </c>
    </row>
    <row r="20" spans="1:18">
      <c r="A20" s="587" t="s">
        <v>1041</v>
      </c>
      <c r="B20" s="587" t="s">
        <v>1042</v>
      </c>
      <c r="C20" s="587" t="s">
        <v>1043</v>
      </c>
      <c r="D20" s="583"/>
      <c r="E20" s="585"/>
      <c r="F20" s="585"/>
      <c r="G20" s="585"/>
      <c r="H20" s="585"/>
      <c r="I20" s="585"/>
      <c r="J20" s="585" t="s">
        <v>999</v>
      </c>
      <c r="K20" s="585"/>
      <c r="L20" s="585" t="s">
        <v>999</v>
      </c>
      <c r="M20" s="585"/>
      <c r="N20" s="585" t="s">
        <v>999</v>
      </c>
      <c r="O20" s="585" t="s">
        <v>999</v>
      </c>
      <c r="P20" s="586"/>
      <c r="Q20" s="585" t="s">
        <v>999</v>
      </c>
      <c r="R20" s="585" t="s">
        <v>999</v>
      </c>
    </row>
    <row r="21" spans="1:18">
      <c r="A21" s="587" t="s">
        <v>1044</v>
      </c>
      <c r="B21" s="587" t="s">
        <v>1045</v>
      </c>
      <c r="C21" s="587" t="s">
        <v>1046</v>
      </c>
      <c r="D21" s="583"/>
      <c r="E21" s="585" t="s">
        <v>999</v>
      </c>
      <c r="F21" s="585" t="s">
        <v>999</v>
      </c>
      <c r="G21" s="585" t="s">
        <v>999</v>
      </c>
      <c r="H21" s="585" t="s">
        <v>999</v>
      </c>
      <c r="I21" s="585" t="s">
        <v>999</v>
      </c>
      <c r="J21" s="585" t="s">
        <v>999</v>
      </c>
      <c r="K21" s="585" t="s">
        <v>999</v>
      </c>
      <c r="L21" s="585" t="s">
        <v>999</v>
      </c>
      <c r="M21" s="585" t="s">
        <v>1006</v>
      </c>
      <c r="N21" s="585" t="s">
        <v>999</v>
      </c>
      <c r="O21" s="585" t="s">
        <v>999</v>
      </c>
      <c r="P21" s="586"/>
      <c r="Q21" s="585" t="s">
        <v>999</v>
      </c>
      <c r="R21" s="585" t="s">
        <v>999</v>
      </c>
    </row>
    <row r="22" spans="1:18">
      <c r="A22" s="587" t="s">
        <v>1047</v>
      </c>
      <c r="B22" s="587" t="s">
        <v>1048</v>
      </c>
      <c r="C22" s="587" t="s">
        <v>1049</v>
      </c>
      <c r="D22" s="583"/>
      <c r="E22" s="585"/>
      <c r="F22" s="585"/>
      <c r="G22" s="585"/>
      <c r="H22" s="585"/>
      <c r="I22" s="585"/>
      <c r="J22" s="585"/>
      <c r="K22" s="585"/>
      <c r="L22" s="585"/>
      <c r="M22" s="585"/>
      <c r="N22" s="585" t="s">
        <v>999</v>
      </c>
      <c r="O22" s="585" t="s">
        <v>999</v>
      </c>
      <c r="P22" s="586"/>
      <c r="Q22" s="585" t="s">
        <v>999</v>
      </c>
      <c r="R22" s="585" t="s">
        <v>999</v>
      </c>
    </row>
    <row r="23" spans="1:18">
      <c r="A23" s="588" t="s">
        <v>1050</v>
      </c>
      <c r="B23" s="588" t="s">
        <v>1051</v>
      </c>
      <c r="C23" s="588" t="s">
        <v>1052</v>
      </c>
      <c r="D23" s="583"/>
      <c r="E23" s="585"/>
      <c r="F23" s="585"/>
      <c r="G23" s="585"/>
      <c r="H23" s="585"/>
      <c r="I23" s="585"/>
      <c r="J23" s="585" t="s">
        <v>999</v>
      </c>
      <c r="K23" s="585" t="s">
        <v>999</v>
      </c>
      <c r="L23" s="585" t="s">
        <v>999</v>
      </c>
      <c r="M23" s="585"/>
      <c r="N23" s="585" t="s">
        <v>999</v>
      </c>
      <c r="O23" s="585" t="s">
        <v>999</v>
      </c>
      <c r="P23" s="586"/>
      <c r="Q23" s="585" t="s">
        <v>999</v>
      </c>
      <c r="R23" s="585" t="s">
        <v>999</v>
      </c>
    </row>
    <row r="24" spans="1:18">
      <c r="A24" s="582" t="s">
        <v>1053</v>
      </c>
      <c r="B24" s="582"/>
      <c r="C24" s="582"/>
      <c r="D24" s="583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6"/>
      <c r="Q24" s="589"/>
      <c r="R24" s="589"/>
    </row>
    <row r="25" spans="1:18">
      <c r="A25" s="584" t="s">
        <v>1054</v>
      </c>
      <c r="B25" s="584" t="s">
        <v>1055</v>
      </c>
      <c r="C25" s="584" t="s">
        <v>1056</v>
      </c>
      <c r="D25" s="583"/>
      <c r="E25" s="585"/>
      <c r="F25" s="585"/>
      <c r="G25" s="585"/>
      <c r="H25" s="585"/>
      <c r="I25" s="585"/>
      <c r="J25" s="585" t="s">
        <v>999</v>
      </c>
      <c r="K25" s="585" t="s">
        <v>999</v>
      </c>
      <c r="L25" s="585" t="s">
        <v>999</v>
      </c>
      <c r="M25" s="585"/>
      <c r="N25" s="585" t="s">
        <v>999</v>
      </c>
      <c r="O25" s="585" t="s">
        <v>999</v>
      </c>
      <c r="P25" s="586"/>
      <c r="Q25" s="585" t="s">
        <v>999</v>
      </c>
      <c r="R25" s="585" t="s">
        <v>999</v>
      </c>
    </row>
    <row r="26" spans="1:18">
      <c r="A26" s="587" t="s">
        <v>1057</v>
      </c>
      <c r="B26" s="587" t="s">
        <v>1058</v>
      </c>
      <c r="C26" s="587" t="s">
        <v>1059</v>
      </c>
      <c r="D26" s="583"/>
      <c r="E26" s="585"/>
      <c r="F26" s="585"/>
      <c r="G26" s="585"/>
      <c r="H26" s="585"/>
      <c r="I26" s="585"/>
      <c r="J26" s="585" t="s">
        <v>1060</v>
      </c>
      <c r="K26" s="585"/>
      <c r="L26" s="585"/>
      <c r="M26" s="585"/>
      <c r="N26" s="585"/>
      <c r="O26" s="585"/>
      <c r="P26" s="586"/>
      <c r="Q26" s="585" t="s">
        <v>999</v>
      </c>
      <c r="R26" s="585" t="s">
        <v>999</v>
      </c>
    </row>
    <row r="27" spans="1:18">
      <c r="A27" s="588" t="s">
        <v>1061</v>
      </c>
      <c r="B27" s="588" t="s">
        <v>1062</v>
      </c>
      <c r="C27" s="588" t="s">
        <v>1063</v>
      </c>
      <c r="D27" s="583"/>
      <c r="E27" s="585"/>
      <c r="F27" s="585"/>
      <c r="G27" s="585"/>
      <c r="H27" s="585"/>
      <c r="I27" s="585"/>
      <c r="J27" s="585" t="s">
        <v>1060</v>
      </c>
      <c r="K27" s="585"/>
      <c r="L27" s="585"/>
      <c r="M27" s="585"/>
      <c r="N27" s="585"/>
      <c r="O27" s="585"/>
      <c r="P27" s="586"/>
      <c r="Q27" s="585" t="s">
        <v>999</v>
      </c>
      <c r="R27" s="585" t="s">
        <v>999</v>
      </c>
    </row>
    <row r="28" spans="1:18">
      <c r="A28" s="582" t="s">
        <v>1064</v>
      </c>
      <c r="B28" s="582"/>
      <c r="C28" s="582"/>
      <c r="D28" s="583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6"/>
      <c r="Q28" s="589"/>
      <c r="R28" s="589"/>
    </row>
    <row r="29" spans="1:18">
      <c r="A29" s="584" t="s">
        <v>1065</v>
      </c>
      <c r="B29" s="584" t="s">
        <v>1066</v>
      </c>
      <c r="C29" s="584" t="s">
        <v>1067</v>
      </c>
      <c r="D29" s="583"/>
      <c r="E29" s="585"/>
      <c r="F29" s="585"/>
      <c r="G29" s="585" t="s">
        <v>999</v>
      </c>
      <c r="H29" s="585" t="s">
        <v>999</v>
      </c>
      <c r="I29" s="585"/>
      <c r="J29" s="585"/>
      <c r="K29" s="585"/>
      <c r="L29" s="585" t="s">
        <v>999</v>
      </c>
      <c r="M29" s="585" t="s">
        <v>1006</v>
      </c>
      <c r="N29" s="585" t="s">
        <v>999</v>
      </c>
      <c r="O29" s="585" t="s">
        <v>999</v>
      </c>
      <c r="P29" s="586"/>
      <c r="Q29" s="585" t="s">
        <v>999</v>
      </c>
      <c r="R29" s="585" t="s">
        <v>999</v>
      </c>
    </row>
    <row r="30" spans="1:18">
      <c r="A30" s="588" t="s">
        <v>1068</v>
      </c>
      <c r="B30" s="588" t="s">
        <v>1069</v>
      </c>
      <c r="C30" s="588" t="s">
        <v>1070</v>
      </c>
      <c r="D30" s="583"/>
      <c r="E30" s="585"/>
      <c r="F30" s="585"/>
      <c r="G30" s="585" t="s">
        <v>999</v>
      </c>
      <c r="H30" s="585" t="s">
        <v>999</v>
      </c>
      <c r="I30" s="585"/>
      <c r="J30" s="585"/>
      <c r="K30" s="585"/>
      <c r="L30" s="585" t="s">
        <v>999</v>
      </c>
      <c r="M30" s="585" t="s">
        <v>1006</v>
      </c>
      <c r="N30" s="585" t="s">
        <v>999</v>
      </c>
      <c r="O30" s="585" t="s">
        <v>999</v>
      </c>
      <c r="P30" s="586"/>
      <c r="Q30" s="585" t="s">
        <v>999</v>
      </c>
      <c r="R30" s="585" t="s">
        <v>999</v>
      </c>
    </row>
    <row r="31" spans="1:18">
      <c r="A31" s="582" t="s">
        <v>1071</v>
      </c>
      <c r="B31" s="582"/>
      <c r="C31" s="582"/>
      <c r="D31" s="583"/>
      <c r="E31" s="589"/>
      <c r="F31" s="589"/>
      <c r="G31" s="589"/>
      <c r="H31" s="589"/>
      <c r="I31" s="589"/>
      <c r="J31" s="589"/>
      <c r="K31" s="589"/>
      <c r="L31" s="589"/>
      <c r="M31" s="589"/>
      <c r="N31" s="589"/>
      <c r="O31" s="589"/>
      <c r="P31" s="586"/>
      <c r="Q31" s="589"/>
      <c r="R31" s="589"/>
    </row>
    <row r="32" spans="1:18">
      <c r="A32" s="584" t="s">
        <v>1072</v>
      </c>
      <c r="B32" s="584" t="s">
        <v>1073</v>
      </c>
      <c r="C32" s="584" t="s">
        <v>1074</v>
      </c>
      <c r="D32" s="583"/>
      <c r="E32" s="585"/>
      <c r="F32" s="585"/>
      <c r="G32" s="585"/>
      <c r="H32" s="585"/>
      <c r="I32" s="585"/>
      <c r="J32" s="585" t="s">
        <v>1060</v>
      </c>
      <c r="K32" s="585"/>
      <c r="L32" s="585"/>
      <c r="M32" s="585"/>
      <c r="N32" s="585"/>
      <c r="O32" s="585"/>
      <c r="P32" s="586"/>
      <c r="Q32" s="585" t="s">
        <v>999</v>
      </c>
      <c r="R32" s="585" t="s">
        <v>999</v>
      </c>
    </row>
    <row r="33" spans="1:18">
      <c r="A33" s="588" t="s">
        <v>1075</v>
      </c>
      <c r="B33" s="588" t="s">
        <v>1076</v>
      </c>
      <c r="C33" s="588" t="s">
        <v>1077</v>
      </c>
      <c r="D33" s="583"/>
      <c r="E33" s="585"/>
      <c r="F33" s="585"/>
      <c r="G33" s="585"/>
      <c r="H33" s="585"/>
      <c r="I33" s="585"/>
      <c r="J33" s="585" t="s">
        <v>1060</v>
      </c>
      <c r="K33" s="585"/>
      <c r="L33" s="585"/>
      <c r="M33" s="585"/>
      <c r="N33" s="585"/>
      <c r="O33" s="585"/>
      <c r="P33" s="586"/>
      <c r="Q33" s="585" t="s">
        <v>999</v>
      </c>
      <c r="R33" s="585" t="s">
        <v>999</v>
      </c>
    </row>
    <row r="34" spans="1:18">
      <c r="A34" s="582" t="s">
        <v>1078</v>
      </c>
      <c r="B34" s="582"/>
      <c r="C34" s="582"/>
      <c r="D34" s="583"/>
      <c r="E34" s="589"/>
      <c r="F34" s="589"/>
      <c r="G34" s="589"/>
      <c r="H34" s="589"/>
      <c r="I34" s="589"/>
      <c r="J34" s="589"/>
      <c r="K34" s="589"/>
      <c r="L34" s="589"/>
      <c r="M34" s="589"/>
      <c r="N34" s="589"/>
      <c r="O34" s="589"/>
      <c r="P34" s="586"/>
      <c r="Q34" s="589"/>
      <c r="R34" s="589"/>
    </row>
    <row r="35" spans="1:18">
      <c r="A35" s="584" t="s">
        <v>1079</v>
      </c>
      <c r="B35" s="584" t="s">
        <v>1080</v>
      </c>
      <c r="C35" s="584" t="s">
        <v>1081</v>
      </c>
      <c r="D35" s="583"/>
      <c r="E35" s="585"/>
      <c r="F35" s="585"/>
      <c r="G35" s="585"/>
      <c r="H35" s="585"/>
      <c r="I35" s="585"/>
      <c r="J35" s="585"/>
      <c r="K35" s="585"/>
      <c r="L35" s="585"/>
      <c r="M35" s="585"/>
      <c r="N35" s="585" t="s">
        <v>999</v>
      </c>
      <c r="O35" s="585" t="s">
        <v>999</v>
      </c>
      <c r="P35" s="586"/>
      <c r="Q35" s="585" t="s">
        <v>999</v>
      </c>
      <c r="R35" s="585" t="s">
        <v>999</v>
      </c>
    </row>
    <row r="36" spans="1:18">
      <c r="A36" s="587" t="s">
        <v>1082</v>
      </c>
      <c r="B36" s="587" t="s">
        <v>1083</v>
      </c>
      <c r="C36" s="587" t="s">
        <v>1084</v>
      </c>
      <c r="D36" s="583"/>
      <c r="E36" s="585"/>
      <c r="F36" s="585"/>
      <c r="G36" s="585"/>
      <c r="H36" s="585"/>
      <c r="I36" s="585"/>
      <c r="J36" s="585" t="s">
        <v>999</v>
      </c>
      <c r="K36" s="585"/>
      <c r="L36" s="585" t="s">
        <v>999</v>
      </c>
      <c r="M36" s="585"/>
      <c r="N36" s="585" t="s">
        <v>999</v>
      </c>
      <c r="O36" s="585" t="s">
        <v>999</v>
      </c>
      <c r="P36" s="586"/>
      <c r="Q36" s="585" t="s">
        <v>999</v>
      </c>
      <c r="R36" s="585" t="s">
        <v>999</v>
      </c>
    </row>
    <row r="37" spans="1:18">
      <c r="A37" s="588" t="s">
        <v>1085</v>
      </c>
      <c r="B37" s="588" t="s">
        <v>1086</v>
      </c>
      <c r="C37" s="588" t="s">
        <v>1087</v>
      </c>
      <c r="D37" s="583"/>
      <c r="E37" s="585"/>
      <c r="F37" s="585"/>
      <c r="G37" s="585"/>
      <c r="H37" s="585"/>
      <c r="I37" s="585"/>
      <c r="J37" s="585" t="s">
        <v>999</v>
      </c>
      <c r="K37" s="585"/>
      <c r="L37" s="585" t="s">
        <v>999</v>
      </c>
      <c r="M37" s="585"/>
      <c r="N37" s="585" t="s">
        <v>999</v>
      </c>
      <c r="O37" s="585" t="s">
        <v>999</v>
      </c>
      <c r="P37" s="586"/>
      <c r="Q37" s="585" t="s">
        <v>999</v>
      </c>
      <c r="R37" s="585" t="s">
        <v>999</v>
      </c>
    </row>
    <row r="38" spans="1:18" ht="25.5">
      <c r="A38" s="582" t="s">
        <v>1088</v>
      </c>
      <c r="B38" s="582"/>
      <c r="C38" s="582"/>
      <c r="D38" s="583"/>
      <c r="E38" s="589"/>
      <c r="F38" s="589"/>
      <c r="G38" s="589"/>
      <c r="H38" s="589"/>
      <c r="I38" s="589"/>
      <c r="J38" s="589"/>
      <c r="K38" s="589"/>
      <c r="L38" s="589"/>
      <c r="M38" s="589"/>
      <c r="N38" s="589"/>
      <c r="O38" s="589"/>
      <c r="P38" s="586"/>
      <c r="Q38" s="589"/>
      <c r="R38" s="589"/>
    </row>
    <row r="39" spans="1:18">
      <c r="A39" s="584" t="s">
        <v>1089</v>
      </c>
      <c r="B39" s="584" t="s">
        <v>1090</v>
      </c>
      <c r="C39" s="584" t="s">
        <v>1091</v>
      </c>
      <c r="D39" s="583"/>
      <c r="E39" s="585" t="s">
        <v>999</v>
      </c>
      <c r="F39" s="585"/>
      <c r="G39" s="585"/>
      <c r="H39" s="585" t="s">
        <v>999</v>
      </c>
      <c r="I39" s="585"/>
      <c r="J39" s="585" t="s">
        <v>999</v>
      </c>
      <c r="K39" s="585"/>
      <c r="L39" s="585"/>
      <c r="M39" s="585" t="s">
        <v>1006</v>
      </c>
      <c r="N39" s="585"/>
      <c r="O39" s="585"/>
      <c r="P39" s="586"/>
      <c r="Q39" s="585"/>
      <c r="R39" s="585" t="s">
        <v>999</v>
      </c>
    </row>
    <row r="40" spans="1:18">
      <c r="A40" s="587" t="s">
        <v>1092</v>
      </c>
      <c r="B40" s="587" t="s">
        <v>1093</v>
      </c>
      <c r="C40" s="587" t="s">
        <v>1094</v>
      </c>
      <c r="D40" s="583"/>
      <c r="E40" s="585"/>
      <c r="F40" s="585"/>
      <c r="G40" s="585"/>
      <c r="H40" s="585" t="s">
        <v>999</v>
      </c>
      <c r="I40" s="585"/>
      <c r="J40" s="585"/>
      <c r="K40" s="585"/>
      <c r="L40" s="585"/>
      <c r="M40" s="585" t="s">
        <v>1006</v>
      </c>
      <c r="N40" s="585"/>
      <c r="O40" s="585"/>
      <c r="P40" s="586"/>
      <c r="Q40" s="585"/>
      <c r="R40" s="585" t="s">
        <v>999</v>
      </c>
    </row>
    <row r="41" spans="1:18" ht="25.5">
      <c r="A41" s="587" t="s">
        <v>1095</v>
      </c>
      <c r="B41" s="587" t="s">
        <v>1096</v>
      </c>
      <c r="C41" s="587" t="s">
        <v>1097</v>
      </c>
      <c r="D41" s="583"/>
      <c r="E41" s="585"/>
      <c r="F41" s="585"/>
      <c r="G41" s="585"/>
      <c r="H41" s="585" t="s">
        <v>999</v>
      </c>
      <c r="I41" s="585"/>
      <c r="J41" s="585"/>
      <c r="K41" s="585"/>
      <c r="L41" s="585"/>
      <c r="M41" s="585" t="s">
        <v>1006</v>
      </c>
      <c r="N41" s="585"/>
      <c r="O41" s="585"/>
      <c r="P41" s="586"/>
      <c r="Q41" s="585"/>
      <c r="R41" s="585" t="s">
        <v>999</v>
      </c>
    </row>
    <row r="42" spans="1:18" ht="25.5">
      <c r="A42" s="587" t="s">
        <v>1098</v>
      </c>
      <c r="B42" s="587" t="s">
        <v>1099</v>
      </c>
      <c r="C42" s="587" t="s">
        <v>1100</v>
      </c>
      <c r="D42" s="583"/>
      <c r="E42" s="585"/>
      <c r="F42" s="585"/>
      <c r="G42" s="585"/>
      <c r="H42" s="585" t="s">
        <v>999</v>
      </c>
      <c r="I42" s="585"/>
      <c r="J42" s="585"/>
      <c r="K42" s="585"/>
      <c r="L42" s="585"/>
      <c r="M42" s="585" t="s">
        <v>1006</v>
      </c>
      <c r="N42" s="585"/>
      <c r="O42" s="585"/>
      <c r="P42" s="586"/>
      <c r="Q42" s="585"/>
      <c r="R42" s="585" t="s">
        <v>1006</v>
      </c>
    </row>
    <row r="43" spans="1:18" ht="9.9499999999999993" customHeight="1">
      <c r="A43" s="590" t="s">
        <v>1101</v>
      </c>
      <c r="B43" s="590"/>
      <c r="C43" s="590"/>
      <c r="D43" s="590"/>
      <c r="E43" s="590"/>
      <c r="F43" s="590"/>
      <c r="G43" s="590"/>
      <c r="H43" s="590"/>
      <c r="I43" s="590"/>
      <c r="J43" s="590"/>
      <c r="K43" s="590"/>
      <c r="L43" s="590"/>
      <c r="M43" s="590"/>
      <c r="N43" s="590"/>
      <c r="O43" s="590"/>
      <c r="P43" s="590"/>
      <c r="Q43" s="590"/>
      <c r="R43" s="590"/>
    </row>
  </sheetData>
  <mergeCells count="3">
    <mergeCell ref="E1:O1"/>
    <mergeCell ref="Q1:R1"/>
    <mergeCell ref="A3:D3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1 - Instructions</vt:lpstr>
      <vt:lpstr>2 - Kit Request</vt:lpstr>
      <vt:lpstr>3 - Prepaid Kit Request_COC</vt:lpstr>
      <vt:lpstr>4 - Standard COC</vt:lpstr>
      <vt:lpstr>WasteWater</vt:lpstr>
      <vt:lpstr>Mining</vt:lpstr>
      <vt:lpstr>Landfill</vt:lpstr>
      <vt:lpstr>UST</vt:lpstr>
      <vt:lpstr>TCLP</vt:lpstr>
      <vt:lpstr>5 - DW Long COC</vt:lpstr>
      <vt:lpstr>6 - DW Short COC</vt:lpstr>
      <vt:lpstr>7 - Total Coli COC</vt:lpstr>
      <vt:lpstr>8 - DW Non-PWS COC</vt:lpstr>
      <vt:lpstr>9 - Sample Guide</vt:lpstr>
      <vt:lpstr>10-PFAS</vt:lpstr>
      <vt:lpstr>'2 - Kit Request'!Print_Area</vt:lpstr>
      <vt:lpstr>'3 - Prepaid Kit Request_COC'!Print_Area</vt:lpstr>
      <vt:lpstr>'4 - Standard COC'!Print_Area</vt:lpstr>
      <vt:lpstr>'5 - DW Long COC'!Print_Area</vt:lpstr>
      <vt:lpstr>'7 - Total Coli COC'!Print_Area</vt:lpstr>
      <vt:lpstr>Landfill!Print_Area</vt:lpstr>
      <vt:lpstr>Mining!Print_Area</vt:lpstr>
      <vt:lpstr>TCLP!Print_Area</vt:lpstr>
      <vt:lpstr>UST!Print_Area</vt:lpstr>
      <vt:lpstr>WasteWater!Print_Area</vt:lpstr>
      <vt:lpstr>'9 - Sample Guide'!Print_Titles</vt:lpstr>
    </vt:vector>
  </TitlesOfParts>
  <Company>SGS Environmental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tbayly</dc:creator>
  <cp:lastModifiedBy>Benjamin Meyer</cp:lastModifiedBy>
  <cp:lastPrinted>2020-12-14T17:16:45Z</cp:lastPrinted>
  <dcterms:created xsi:type="dcterms:W3CDTF">2005-02-10T01:25:53Z</dcterms:created>
  <dcterms:modified xsi:type="dcterms:W3CDTF">2023-05-02T00:02:40Z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